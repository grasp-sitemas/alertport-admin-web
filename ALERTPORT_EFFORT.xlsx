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refas" sheetId="1" state="visible" r:id="rId1"/>
    <sheet xmlns:r="http://schemas.openxmlformats.org/officeDocument/2006/relationships" name="Resum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7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sz val="10"/>
    </font>
    <font>
      <name val="Arial"/>
      <sz val="10"/>
    </font>
    <font>
      <name val="Arial"/>
      <b val="1"/>
      <color rgb="00B3261E"/>
      <sz val="14"/>
    </font>
    <font>
      <name val="Arial"/>
      <b val="1"/>
      <color rgb="00FFFFFF"/>
      <sz val="10"/>
    </font>
    <font>
      <name val="Arial"/>
      <b val="1"/>
      <sz val="11"/>
    </font>
  </fonts>
  <fills count="11">
    <fill>
      <patternFill/>
    </fill>
    <fill>
      <patternFill patternType="gray125"/>
    </fill>
    <fill>
      <patternFill patternType="solid">
        <fgColor rgb="00B3261E"/>
      </patternFill>
    </fill>
    <fill>
      <patternFill patternType="solid">
        <fgColor rgb="001a2234"/>
      </patternFill>
    </fill>
    <fill>
      <patternFill patternType="solid">
        <fgColor rgb="00CFE2FF"/>
      </patternFill>
    </fill>
    <fill>
      <patternFill patternType="solid">
        <fgColor rgb="00FFF3CD"/>
      </patternFill>
    </fill>
    <fill>
      <patternFill patternType="solid">
        <fgColor rgb="00D1E7DD"/>
      </patternFill>
    </fill>
    <fill>
      <patternFill patternType="solid">
        <fgColor rgb="00F8D7DA"/>
      </patternFill>
    </fill>
    <fill>
      <patternFill patternType="solid">
        <fgColor rgb="00E7F5E9"/>
      </patternFill>
    </fill>
    <fill>
      <patternFill patternType="solid">
        <fgColor rgb="00FFE4B5"/>
      </patternFill>
    </fill>
    <fill>
      <patternFill patternType="solid">
        <fgColor rgb="00E5E5E5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1" fillId="3" borderId="0" applyAlignment="1" pivotButton="0" quotePrefix="0" xfId="0">
      <alignment horizontal="left" vertical="center" indent="1"/>
    </xf>
    <xf numFmtId="0" fontId="3" fillId="0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 wrapText="1"/>
    </xf>
    <xf numFmtId="0" fontId="2" fillId="5" borderId="1" applyAlignment="1" pivotButton="0" quotePrefix="0" xfId="0">
      <alignment horizontal="center" vertical="center"/>
    </xf>
    <xf numFmtId="0" fontId="0" fillId="6" borderId="1" applyAlignment="1" pivotButton="0" quotePrefix="0" xfId="0">
      <alignment horizontal="center" vertical="center"/>
    </xf>
    <xf numFmtId="0" fontId="2" fillId="7" borderId="1" applyAlignment="1" pivotButton="0" quotePrefix="0" xfId="0">
      <alignment horizontal="center" vertical="center"/>
    </xf>
    <xf numFmtId="0" fontId="2" fillId="8" borderId="1" applyAlignment="1" pivotButton="0" quotePrefix="0" xfId="0">
      <alignment horizontal="center" vertical="center"/>
    </xf>
    <xf numFmtId="0" fontId="0" fillId="9" borderId="1" applyAlignment="1" pivotButton="0" quotePrefix="0" xfId="0">
      <alignment horizontal="center" vertical="center"/>
    </xf>
    <xf numFmtId="0" fontId="4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5" fillId="3" borderId="1" applyAlignment="1" pivotButton="0" quotePrefix="0" xfId="0">
      <alignment horizontal="center" vertical="center"/>
    </xf>
    <xf numFmtId="0" fontId="3" fillId="9" borderId="1" applyAlignment="1" pivotButton="0" quotePrefix="0" xfId="0">
      <alignment horizontal="center" vertical="center"/>
    </xf>
    <xf numFmtId="164" fontId="3" fillId="0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2" fillId="10" borderId="1" applyAlignment="1" pivotButton="0" quotePrefix="0" xfId="0">
      <alignment horizontal="center" vertical="center"/>
    </xf>
    <xf numFmtId="164" fontId="2" fillId="10" borderId="1" applyAlignment="1" pivotButton="0" quotePrefix="0" xfId="0">
      <alignment horizontal="center" vertical="center"/>
    </xf>
    <xf numFmtId="0" fontId="6" fillId="0" borderId="0" pivotButton="0" quotePrefix="0" xfId="0"/>
    <xf numFmtId="0" fontId="3" fillId="0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2" customWidth="1" min="2" max="2"/>
    <col width="12" customWidth="1" min="3" max="3"/>
    <col width="11" customWidth="1" min="4" max="4"/>
    <col width="11" customWidth="1" min="5" max="5"/>
    <col width="18" customWidth="1" min="6" max="6"/>
    <col width="90" customWidth="1" min="7" max="7"/>
    <col width="13" customWidth="1" min="8" max="8"/>
  </cols>
  <sheetData>
    <row r="1" ht="30" customHeight="1">
      <c r="A1" s="1" t="inlineStr">
        <is>
          <t>#</t>
        </is>
      </c>
      <c r="B1" s="1" t="inlineStr">
        <is>
          <t>Data Início</t>
        </is>
      </c>
      <c r="C1" s="1" t="inlineStr">
        <is>
          <t>Data Fim</t>
        </is>
      </c>
      <c r="D1" s="1" t="inlineStr">
        <is>
          <t>Área</t>
        </is>
      </c>
      <c r="E1" s="1" t="inlineStr">
        <is>
          <t>Categoria</t>
        </is>
      </c>
      <c r="F1" s="1" t="inlineStr">
        <is>
          <t>Módulo</t>
        </is>
      </c>
      <c r="G1" s="1" t="inlineStr">
        <is>
          <t>Descrição</t>
        </is>
      </c>
      <c r="H1" s="1" t="inlineStr">
        <is>
          <t>Story Points</t>
        </is>
      </c>
    </row>
    <row r="2" ht="24" customHeight="1">
      <c r="A2" s="2" t="inlineStr">
        <is>
          <t>1. Setup e Infraestrutura</t>
        </is>
      </c>
    </row>
    <row r="3" ht="32" customHeight="1">
      <c r="A3" s="3" t="n">
        <v>1</v>
      </c>
      <c r="B3" s="3" t="inlineStr">
        <is>
          <t>2026-04-07</t>
        </is>
      </c>
      <c r="C3" s="3" t="inlineStr">
        <is>
          <t>2026-04-09</t>
        </is>
      </c>
      <c r="D3" s="4" t="inlineStr">
        <is>
          <t>App</t>
        </is>
      </c>
      <c r="E3" s="3" t="inlineStr">
        <is>
          <t>Feature</t>
        </is>
      </c>
      <c r="F3" s="5" t="inlineStr">
        <is>
          <t>Infra mobile</t>
        </is>
      </c>
      <c r="G3" s="5" t="inlineStr">
        <is>
          <t>Fix Android release device env selection, handle reinstall, adicionar MS_CHAT_URL para Socket.IO (alertport-app)</t>
        </is>
      </c>
      <c r="H3" s="6" t="n">
        <v>3</v>
      </c>
    </row>
    <row r="4" ht="32" customHeight="1">
      <c r="A4" s="3" t="n">
        <v>2</v>
      </c>
      <c r="B4" s="3" t="inlineStr">
        <is>
          <t>2026-04-16</t>
        </is>
      </c>
      <c r="C4" s="3" t="inlineStr">
        <is>
          <t>2026-04-16</t>
        </is>
      </c>
      <c r="D4" s="7" t="inlineStr">
        <is>
          <t>Frontend</t>
        </is>
      </c>
      <c r="E4" s="3" t="inlineStr">
        <is>
          <t>DevOps</t>
        </is>
      </c>
      <c r="F4" s="5" t="inlineStr">
        <is>
          <t>Build/Deploy</t>
        </is>
      </c>
      <c r="G4" s="5" t="inlineStr">
        <is>
          <t>Scaffolding inicial Next.js 16 (App Router) + estrutura de pastas + api-client + socket client</t>
        </is>
      </c>
      <c r="H4" s="8" t="n">
        <v>8</v>
      </c>
    </row>
    <row r="5" ht="32" customHeight="1">
      <c r="A5" s="3" t="n">
        <v>3</v>
      </c>
      <c r="B5" s="3" t="inlineStr">
        <is>
          <t>2026-04-16</t>
        </is>
      </c>
      <c r="C5" s="3" t="inlineStr">
        <is>
          <t>2026-04-16</t>
        </is>
      </c>
      <c r="D5" s="7" t="inlineStr">
        <is>
          <t>Frontend</t>
        </is>
      </c>
      <c r="E5" s="3" t="inlineStr">
        <is>
          <t>DevOps</t>
        </is>
      </c>
      <c r="F5" s="5" t="inlineStr">
        <is>
          <t>Build/Deploy</t>
        </is>
      </c>
      <c r="G5" s="5" t="inlineStr">
        <is>
          <t>Configuração Vercel HML (admin-alertport-hml) + scripts/deploy.sh + projetos separados prod/hml</t>
        </is>
      </c>
      <c r="H5" s="6" t="n">
        <v>3</v>
      </c>
    </row>
    <row r="6" ht="32" customHeight="1">
      <c r="A6" s="3" t="n">
        <v>4</v>
      </c>
      <c r="B6" s="3" t="inlineStr">
        <is>
          <t>2026-04-16</t>
        </is>
      </c>
      <c r="C6" s="3" t="inlineStr">
        <is>
          <t>2026-04-16</t>
        </is>
      </c>
      <c r="D6" s="7" t="inlineStr">
        <is>
          <t>Frontend</t>
        </is>
      </c>
      <c r="E6" s="3" t="inlineStr">
        <is>
          <t>DevOps</t>
        </is>
      </c>
      <c r="F6" s="5" t="inlineStr">
        <is>
          <t>Build/Deploy</t>
        </is>
      </c>
      <c r="G6" s="5" t="inlineStr">
        <is>
          <t>Templates .env (example/hml/production) alinhados com endpoints HML shieldgo</t>
        </is>
      </c>
      <c r="H6" s="9" t="n">
        <v>2</v>
      </c>
    </row>
    <row r="7" ht="24" customHeight="1">
      <c r="A7" s="2" t="inlineStr">
        <is>
          <t>2. Autenticação e Cadastro</t>
        </is>
      </c>
    </row>
    <row r="8" ht="32" customHeight="1">
      <c r="A8" s="3" t="n">
        <v>5</v>
      </c>
      <c r="B8" s="3" t="inlineStr">
        <is>
          <t>2026-04-16</t>
        </is>
      </c>
      <c r="C8" s="3" t="inlineStr">
        <is>
          <t>2026-04-16</t>
        </is>
      </c>
      <c r="D8" s="7" t="inlineStr">
        <is>
          <t>Frontend</t>
        </is>
      </c>
      <c r="E8" s="3" t="inlineStr">
        <is>
          <t>Feature</t>
        </is>
      </c>
      <c r="F8" s="5" t="inlineStr">
        <is>
          <t>Auth</t>
        </is>
      </c>
      <c r="G8" s="5" t="inlineStr">
        <is>
          <t>Fluxo de login com persistência de sessão, guard de rota e auto-logout em token expirado</t>
        </is>
      </c>
      <c r="H8" s="6" t="n">
        <v>5</v>
      </c>
    </row>
    <row r="9" ht="32" customHeight="1">
      <c r="A9" s="3" t="n">
        <v>6</v>
      </c>
      <c r="B9" s="3" t="inlineStr">
        <is>
          <t>2026-04-16</t>
        </is>
      </c>
      <c r="C9" s="3" t="inlineStr">
        <is>
          <t>2026-04-16</t>
        </is>
      </c>
      <c r="D9" s="7" t="inlineStr">
        <is>
          <t>Frontend</t>
        </is>
      </c>
      <c r="E9" s="3" t="inlineStr">
        <is>
          <t>Fix</t>
        </is>
      </c>
      <c r="F9" s="5" t="inlineStr">
        <is>
          <t>Auth</t>
        </is>
      </c>
      <c r="G9" s="5" t="inlineStr">
        <is>
          <t>Fix infinite loop em auth + remover título legacy na tela de login</t>
        </is>
      </c>
      <c r="H9" s="9" t="n">
        <v>1</v>
      </c>
    </row>
    <row r="10" ht="32" customHeight="1">
      <c r="A10" s="3" t="n">
        <v>7</v>
      </c>
      <c r="B10" s="3" t="inlineStr">
        <is>
          <t>2026-04-16</t>
        </is>
      </c>
      <c r="C10" s="3" t="inlineStr">
        <is>
          <t>2026-04-16</t>
        </is>
      </c>
      <c r="D10" s="7" t="inlineStr">
        <is>
          <t>Frontend</t>
        </is>
      </c>
      <c r="E10" s="3" t="inlineStr">
        <is>
          <t>Feature</t>
        </is>
      </c>
      <c r="F10" s="5" t="inlineStr">
        <is>
          <t>Auth</t>
        </is>
      </c>
      <c r="G10" s="5" t="inlineStr">
        <is>
          <t>Fluxo completo de recuperação de senha (3 passos: email, código, nova senha)</t>
        </is>
      </c>
      <c r="H10" s="6" t="n">
        <v>3</v>
      </c>
    </row>
    <row r="11" ht="32" customHeight="1">
      <c r="A11" s="3" t="n">
        <v>8</v>
      </c>
      <c r="B11" s="3" t="inlineStr">
        <is>
          <t>2026-04-17</t>
        </is>
      </c>
      <c r="C11" s="3" t="inlineStr">
        <is>
          <t>2026-04-17</t>
        </is>
      </c>
      <c r="D11" s="7" t="inlineStr">
        <is>
          <t>Frontend</t>
        </is>
      </c>
      <c r="E11" s="3" t="inlineStr">
        <is>
          <t>Feature</t>
        </is>
      </c>
      <c r="F11" s="5" t="inlineStr">
        <is>
          <t>Signup</t>
        </is>
      </c>
      <c r="G11" s="5" t="inlineStr">
        <is>
          <t>Self-signup multi-step (dados pessoais + empresa) + tela /register dedicada</t>
        </is>
      </c>
      <c r="H11" s="6" t="n">
        <v>5</v>
      </c>
    </row>
    <row r="12" ht="32" customHeight="1">
      <c r="A12" s="3" t="n">
        <v>9</v>
      </c>
      <c r="B12" s="3" t="inlineStr">
        <is>
          <t>2026-04-17</t>
        </is>
      </c>
      <c r="C12" s="3" t="inlineStr">
        <is>
          <t>2026-04-17</t>
        </is>
      </c>
      <c r="D12" s="7" t="inlineStr">
        <is>
          <t>Frontend</t>
        </is>
      </c>
      <c r="E12" s="3" t="inlineStr">
        <is>
          <t>Feature</t>
        </is>
      </c>
      <c r="F12" s="5" t="inlineStr">
        <is>
          <t>Signup</t>
        </is>
      </c>
      <c r="G12" s="5" t="inlineStr">
        <is>
          <t>Página /activate com código manual + ativação via link (one-click) em Suspense boundary</t>
        </is>
      </c>
      <c r="H12" s="6" t="n">
        <v>3</v>
      </c>
    </row>
    <row r="13" ht="32" customHeight="1">
      <c r="A13" s="3" t="n">
        <v>10</v>
      </c>
      <c r="B13" s="3" t="inlineStr">
        <is>
          <t>2026-04-17</t>
        </is>
      </c>
      <c r="C13" s="3" t="inlineStr">
        <is>
          <t>2026-04-17</t>
        </is>
      </c>
      <c r="D13" s="10" t="inlineStr">
        <is>
          <t>Backend</t>
        </is>
      </c>
      <c r="E13" s="3" t="inlineStr">
        <is>
          <t>Feature</t>
        </is>
      </c>
      <c r="F13" s="5" t="inlineStr">
        <is>
          <t>Signup</t>
        </is>
      </c>
      <c r="G13" s="5" t="inlineStr">
        <is>
          <t>ms-user: self-signup + email de ativação + activation via native Mongo driver (bypass hp-shield-crud)</t>
        </is>
      </c>
      <c r="H13" s="6" t="n">
        <v>5</v>
      </c>
    </row>
    <row r="14" ht="32" customHeight="1">
      <c r="A14" s="3" t="n">
        <v>11</v>
      </c>
      <c r="B14" s="3" t="inlineStr">
        <is>
          <t>2026-04-17</t>
        </is>
      </c>
      <c r="C14" s="3" t="inlineStr">
        <is>
          <t>2026-04-17</t>
        </is>
      </c>
      <c r="D14" s="10" t="inlineStr">
        <is>
          <t>Backend</t>
        </is>
      </c>
      <c r="E14" s="3" t="inlineStr">
        <is>
          <t>Feature</t>
        </is>
      </c>
      <c r="F14" s="5" t="inlineStr">
        <is>
          <t>Signup</t>
        </is>
      </c>
      <c r="G14" s="5" t="inlineStr">
        <is>
          <t>Link-based activation (botão one-click) + email premium AlertPort + token-safe activate</t>
        </is>
      </c>
      <c r="H14" s="6" t="n">
        <v>3</v>
      </c>
    </row>
    <row r="15" ht="32" customHeight="1">
      <c r="A15" s="3" t="n">
        <v>12</v>
      </c>
      <c r="B15" s="3" t="inlineStr">
        <is>
          <t>2026-04-17</t>
        </is>
      </c>
      <c r="C15" s="3" t="inlineStr">
        <is>
          <t>2026-04-17</t>
        </is>
      </c>
      <c r="D15" s="7" t="inlineStr">
        <is>
          <t>Frontend</t>
        </is>
      </c>
      <c r="E15" s="3" t="inlineStr">
        <is>
          <t>Feature</t>
        </is>
      </c>
      <c r="F15" s="5" t="inlineStr">
        <is>
          <t>Signup</t>
        </is>
      </c>
      <c r="G15" s="5" t="inlineStr">
        <is>
          <t>Modais Premium de Termos de Uso + Política de Privacidade no step 2 do signup</t>
        </is>
      </c>
      <c r="H15" s="9" t="n">
        <v>2</v>
      </c>
    </row>
    <row r="16" ht="32" customHeight="1">
      <c r="A16" s="3" t="n">
        <v>13</v>
      </c>
      <c r="B16" s="3" t="inlineStr">
        <is>
          <t>2026-04-17</t>
        </is>
      </c>
      <c r="C16" s="3" t="inlineStr">
        <is>
          <t>2026-04-17</t>
        </is>
      </c>
      <c r="D16" s="7" t="inlineStr">
        <is>
          <t>Frontend</t>
        </is>
      </c>
      <c r="E16" s="3" t="inlineStr">
        <is>
          <t>Feature</t>
        </is>
      </c>
      <c r="F16" s="5" t="inlineStr">
        <is>
          <t>Signup</t>
        </is>
      </c>
      <c r="G16" s="5" t="inlineStr">
        <is>
          <t>Validação de CPF (11 dígitos) + CNPJ (14) com checksum + CNPJ alfanumérico (IN RFB 2.229/2024) com testes</t>
        </is>
      </c>
      <c r="H16" s="6" t="n">
        <v>3</v>
      </c>
    </row>
    <row r="17" ht="32" customHeight="1">
      <c r="A17" s="3" t="n">
        <v>14</v>
      </c>
      <c r="B17" s="3" t="inlineStr">
        <is>
          <t>2026-04-17</t>
        </is>
      </c>
      <c r="C17" s="3" t="inlineStr">
        <is>
          <t>2026-04-17</t>
        </is>
      </c>
      <c r="D17" s="7" t="inlineStr">
        <is>
          <t>Frontend</t>
        </is>
      </c>
      <c r="E17" s="3" t="inlineStr">
        <is>
          <t>Feature</t>
        </is>
      </c>
      <c r="F17" s="5" t="inlineStr">
        <is>
          <t>Signup</t>
        </is>
      </c>
      <c r="G17" s="5" t="inlineStr">
        <is>
          <t>Seletor de timezone + password policy + ícone mostrar/ocultar senha</t>
        </is>
      </c>
      <c r="H17" s="9" t="n">
        <v>2</v>
      </c>
    </row>
    <row r="18" ht="24" customHeight="1">
      <c r="A18" s="2" t="inlineStr">
        <is>
          <t>3. Trial e Plano</t>
        </is>
      </c>
    </row>
    <row r="19" ht="32" customHeight="1">
      <c r="A19" s="3" t="n">
        <v>15</v>
      </c>
      <c r="B19" s="3" t="inlineStr">
        <is>
          <t>2026-04-17</t>
        </is>
      </c>
      <c r="C19" s="3" t="inlineStr">
        <is>
          <t>2026-04-17</t>
        </is>
      </c>
      <c r="D19" s="10" t="inlineStr">
        <is>
          <t>Backend</t>
        </is>
      </c>
      <c r="E19" s="3" t="inlineStr">
        <is>
          <t>Feature</t>
        </is>
      </c>
      <c r="F19" s="5" t="inlineStr">
        <is>
          <t>Trial/Plan</t>
        </is>
      </c>
      <c r="G19" s="5" t="inlineStr">
        <is>
          <t>Trial centralizado end-to-end: plan-config.js (catálogo PLANS + FEATURES) + access-policy-service (canCreate, canUseFeature, getContext)</t>
        </is>
      </c>
      <c r="H19" s="8" t="n">
        <v>8</v>
      </c>
    </row>
    <row r="20" ht="32" customHeight="1">
      <c r="A20" s="3" t="n">
        <v>16</v>
      </c>
      <c r="B20" s="3" t="inlineStr">
        <is>
          <t>2026-04-17</t>
        </is>
      </c>
      <c r="C20" s="3" t="inlineStr">
        <is>
          <t>2026-04-17</t>
        </is>
      </c>
      <c r="D20" s="10" t="inlineStr">
        <is>
          <t>Backend</t>
        </is>
      </c>
      <c r="E20" s="3" t="inlineStr">
        <is>
          <t>Feature</t>
        </is>
      </c>
      <c r="F20" s="5" t="inlineStr">
        <is>
          <t>Trial/Plan</t>
        </is>
      </c>
      <c r="G20" s="5" t="inlineStr">
        <is>
          <t>Endpoints trial (context, status, history, start, extend, expire, convert) + plan (features, limits)</t>
        </is>
      </c>
      <c r="H20" s="6" t="n">
        <v>5</v>
      </c>
    </row>
    <row r="21" ht="32" customHeight="1">
      <c r="A21" s="3" t="n">
        <v>17</v>
      </c>
      <c r="B21" s="3" t="inlineStr">
        <is>
          <t>2026-04-17</t>
        </is>
      </c>
      <c r="C21" s="3" t="inlineStr">
        <is>
          <t>2026-04-17</t>
        </is>
      </c>
      <c r="D21" s="7" t="inlineStr">
        <is>
          <t>Frontend</t>
        </is>
      </c>
      <c r="E21" s="3" t="inlineStr">
        <is>
          <t>Feature</t>
        </is>
      </c>
      <c r="F21" s="5" t="inlineStr">
        <is>
          <t>Trial/Plan</t>
        </is>
      </c>
      <c r="G21" s="5" t="inlineStr">
        <is>
          <t>Trial mode UI completo: banner, badge, TrialProvider, gating de botões de criação (GatedCreateButton), modal de expirado</t>
        </is>
      </c>
      <c r="H21" s="6" t="n">
        <v>5</v>
      </c>
    </row>
    <row r="22" ht="32" customHeight="1">
      <c r="A22" s="3" t="n">
        <v>18</v>
      </c>
      <c r="B22" s="3" t="inlineStr">
        <is>
          <t>2026-04-17</t>
        </is>
      </c>
      <c r="C22" s="3" t="inlineStr">
        <is>
          <t>2026-04-17</t>
        </is>
      </c>
      <c r="D22" s="7" t="inlineStr">
        <is>
          <t>Frontend</t>
        </is>
      </c>
      <c r="E22" s="3" t="inlineStr">
        <is>
          <t>Feature</t>
        </is>
      </c>
      <c r="F22" s="5" t="inlineStr">
        <is>
          <t>Trial/Plan</t>
        </is>
      </c>
      <c r="G22" s="5" t="inlineStr">
        <is>
          <t>Mid-session refresh + interceptor 503 + i18n de features + CTA role-gated (só ADMIN vê upgrade)</t>
        </is>
      </c>
      <c r="H22" s="6" t="n">
        <v>3</v>
      </c>
    </row>
    <row r="23" ht="24" customHeight="1">
      <c r="A23" s="2" t="inlineStr">
        <is>
          <t>4. CRUDs principais</t>
        </is>
      </c>
    </row>
    <row r="24" ht="32" customHeight="1">
      <c r="A24" s="3" t="n">
        <v>19</v>
      </c>
      <c r="B24" s="3" t="inlineStr">
        <is>
          <t>2026-04-16</t>
        </is>
      </c>
      <c r="C24" s="3" t="inlineStr">
        <is>
          <t>2026-04-18</t>
        </is>
      </c>
      <c r="D24" s="7" t="inlineStr">
        <is>
          <t>Frontend</t>
        </is>
      </c>
      <c r="E24" s="3" t="inlineStr">
        <is>
          <t>Feature</t>
        </is>
      </c>
      <c r="F24" s="5" t="inlineStr">
        <is>
          <t>Users</t>
        </is>
      </c>
      <c r="G24" s="5" t="inlineStr">
        <is>
          <t>CRUD de Usuários (sistema): listagem, filtros, form de criação/edição, photo upload, preserve hierarquia em edit</t>
        </is>
      </c>
      <c r="H24" s="6" t="n">
        <v>5</v>
      </c>
    </row>
    <row r="25" ht="32" customHeight="1">
      <c r="A25" s="3" t="n">
        <v>20</v>
      </c>
      <c r="B25" s="3" t="inlineStr">
        <is>
          <t>2026-04-16</t>
        </is>
      </c>
      <c r="C25" s="3" t="inlineStr">
        <is>
          <t>2026-04-20</t>
        </is>
      </c>
      <c r="D25" s="7" t="inlineStr">
        <is>
          <t>Frontend</t>
        </is>
      </c>
      <c r="E25" s="3" t="inlineStr">
        <is>
          <t>Feature</t>
        </is>
      </c>
      <c r="F25" s="5" t="inlineStr">
        <is>
          <t>Collaborators</t>
        </is>
      </c>
      <c r="G25" s="5" t="inlineStr">
        <is>
          <t>CRUD de Colaboradores (vigias/supervisores): schema completo, address/CEP autofill, matrícula visível + placeholder auto-gerado</t>
        </is>
      </c>
      <c r="H25" s="6" t="n">
        <v>5</v>
      </c>
    </row>
    <row r="26" ht="32" customHeight="1">
      <c r="A26" s="3" t="n">
        <v>21</v>
      </c>
      <c r="B26" s="3" t="inlineStr">
        <is>
          <t>2026-04-16</t>
        </is>
      </c>
      <c r="C26" s="3" t="inlineStr">
        <is>
          <t>2026-04-17</t>
        </is>
      </c>
      <c r="D26" s="7" t="inlineStr">
        <is>
          <t>Frontend</t>
        </is>
      </c>
      <c r="E26" s="3" t="inlineStr">
        <is>
          <t>Feature</t>
        </is>
      </c>
      <c r="F26" s="5" t="inlineStr">
        <is>
          <t>Clients</t>
        </is>
      </c>
      <c r="G26" s="5" t="inlineStr">
        <is>
          <t>CRUD de Clientes: listagem, form com account+cascade, phone mask, remoção de upload de logo (crash fix)</t>
        </is>
      </c>
      <c r="H26" s="6" t="n">
        <v>3</v>
      </c>
    </row>
    <row r="27" ht="32" customHeight="1">
      <c r="A27" s="3" t="n">
        <v>22</v>
      </c>
      <c r="B27" s="3" t="inlineStr">
        <is>
          <t>2026-04-16</t>
        </is>
      </c>
      <c r="C27" s="3" t="inlineStr">
        <is>
          <t>2026-04-16</t>
        </is>
      </c>
      <c r="D27" s="7" t="inlineStr">
        <is>
          <t>Frontend</t>
        </is>
      </c>
      <c r="E27" s="3" t="inlineStr">
        <is>
          <t>Feature</t>
        </is>
      </c>
      <c r="F27" s="5" t="inlineStr">
        <is>
          <t>Sites</t>
        </is>
      </c>
      <c r="G27" s="5" t="inlineStr">
        <is>
          <t>CRUD de Postos com diálogo de QR Code (geração do QR único para vinculação do app no Posto)</t>
        </is>
      </c>
      <c r="H27" s="6" t="n">
        <v>5</v>
      </c>
    </row>
    <row r="28" ht="32" customHeight="1">
      <c r="A28" s="3" t="n">
        <v>23</v>
      </c>
      <c r="B28" s="3" t="inlineStr">
        <is>
          <t>2026-04-16</t>
        </is>
      </c>
      <c r="C28" s="3" t="inlineStr">
        <is>
          <t>2026-04-16</t>
        </is>
      </c>
      <c r="D28" s="7" t="inlineStr">
        <is>
          <t>Frontend</t>
        </is>
      </c>
      <c r="E28" s="3" t="inlineStr">
        <is>
          <t>Feature</t>
        </is>
      </c>
      <c r="F28" s="5" t="inlineStr">
        <is>
          <t>Equipment</t>
        </is>
      </c>
      <c r="G28" s="5" t="inlineStr">
        <is>
          <t>CRUD de Equipamentos com cascade account→client→site e filtros de hierarquia</t>
        </is>
      </c>
      <c r="H28" s="6" t="n">
        <v>3</v>
      </c>
    </row>
    <row r="29" ht="32" customHeight="1">
      <c r="A29" s="3" t="n">
        <v>24</v>
      </c>
      <c r="B29" s="3" t="inlineStr">
        <is>
          <t>2026-04-16</t>
        </is>
      </c>
      <c r="C29" s="3" t="inlineStr">
        <is>
          <t>2026-04-16</t>
        </is>
      </c>
      <c r="D29" s="7" t="inlineStr">
        <is>
          <t>Frontend</t>
        </is>
      </c>
      <c r="E29" s="3" t="inlineStr">
        <is>
          <t>Feature</t>
        </is>
      </c>
      <c r="F29" s="5" t="inlineStr">
        <is>
          <t>Company</t>
        </is>
      </c>
      <c r="G29" s="5" t="inlineStr">
        <is>
          <t>Tela de Configurações da Empresa (/company) com /me endpoint + campos legacy + CEP autofill compartilhado</t>
        </is>
      </c>
      <c r="H29" s="6" t="n">
        <v>3</v>
      </c>
    </row>
    <row r="30" ht="32" customHeight="1">
      <c r="A30" s="3" t="n">
        <v>25</v>
      </c>
      <c r="B30" s="3" t="inlineStr">
        <is>
          <t>2026-04-16</t>
        </is>
      </c>
      <c r="C30" s="3" t="inlineStr">
        <is>
          <t>2026-04-16</t>
        </is>
      </c>
      <c r="D30" s="7" t="inlineStr">
        <is>
          <t>Frontend</t>
        </is>
      </c>
      <c r="E30" s="3" t="inlineStr">
        <is>
          <t>Feature</t>
        </is>
      </c>
      <c r="F30" s="5" t="inlineStr">
        <is>
          <t>Shared</t>
        </is>
      </c>
      <c r="G30" s="5" t="inlineStr">
        <is>
          <t>Hierarchy cascade em todo o app: useAccountsLookup / useClientsLookup / useSitesLookup com cascade estrito</t>
        </is>
      </c>
      <c r="H30" s="6" t="n">
        <v>5</v>
      </c>
    </row>
    <row r="31" ht="32" customHeight="1">
      <c r="A31" s="3" t="n">
        <v>26</v>
      </c>
      <c r="B31" s="3" t="inlineStr">
        <is>
          <t>2026-04-17</t>
        </is>
      </c>
      <c r="C31" s="3" t="inlineStr">
        <is>
          <t>2026-04-17</t>
        </is>
      </c>
      <c r="D31" s="7" t="inlineStr">
        <is>
          <t>Frontend</t>
        </is>
      </c>
      <c r="E31" s="3" t="inlineStr">
        <is>
          <t>Fix</t>
        </is>
      </c>
      <c r="F31" s="5" t="inlineStr">
        <is>
          <t>Shared</t>
        </is>
      </c>
      <c r="G31" s="5" t="inlineStr">
        <is>
          <t>Sanitização de payloads + phone mask sweep + password policy + invalidação em cascata após mutation</t>
        </is>
      </c>
      <c r="H31" s="6" t="n">
        <v>3</v>
      </c>
    </row>
    <row r="32" ht="32" customHeight="1">
      <c r="A32" s="3" t="n">
        <v>27</v>
      </c>
      <c r="B32" s="3" t="inlineStr">
        <is>
          <t>2026-04-17</t>
        </is>
      </c>
      <c r="C32" s="3" t="inlineStr">
        <is>
          <t>2026-04-17</t>
        </is>
      </c>
      <c r="D32" s="7" t="inlineStr">
        <is>
          <t>Frontend</t>
        </is>
      </c>
      <c r="E32" s="3" t="inlineStr">
        <is>
          <t>Fix</t>
        </is>
      </c>
      <c r="F32" s="5" t="inlineStr">
        <is>
          <t>Shared</t>
        </is>
      </c>
      <c r="G32" s="5" t="inlineStr">
        <is>
          <t>Rejeitar upload de arquivo vazio na fonte + toast explicativo + permitir Axios setar boundary de FormData</t>
        </is>
      </c>
      <c r="H32" s="9" t="n">
        <v>2</v>
      </c>
    </row>
    <row r="33" ht="24" customHeight="1">
      <c r="A33" s="2" t="inlineStr">
        <is>
          <t>5. Dashboard e Monitor</t>
        </is>
      </c>
    </row>
    <row r="34" ht="32" customHeight="1">
      <c r="A34" s="3" t="n">
        <v>28</v>
      </c>
      <c r="B34" s="3" t="inlineStr">
        <is>
          <t>2026-04-16</t>
        </is>
      </c>
      <c r="C34" s="3" t="inlineStr">
        <is>
          <t>2026-04-19</t>
        </is>
      </c>
      <c r="D34" s="7" t="inlineStr">
        <is>
          <t>Frontend</t>
        </is>
      </c>
      <c r="E34" s="3" t="inlineStr">
        <is>
          <t>Feature</t>
        </is>
      </c>
      <c r="F34" s="5" t="inlineStr">
        <is>
          <t>Dashboard</t>
        </is>
      </c>
      <c r="G34" s="5" t="inlineStr">
        <is>
          <t>Dashboard KPIs (total alertas, pendentes, respondidos, perdidos, equipamentos/colaboradores ativos) com React Query</t>
        </is>
      </c>
      <c r="H34" s="6" t="n">
        <v>3</v>
      </c>
    </row>
    <row r="35" ht="32" customHeight="1">
      <c r="A35" s="3" t="n">
        <v>29</v>
      </c>
      <c r="B35" s="3" t="inlineStr">
        <is>
          <t>2026-04-17</t>
        </is>
      </c>
      <c r="C35" s="3" t="inlineStr">
        <is>
          <t>2026-04-19</t>
        </is>
      </c>
      <c r="D35" s="7" t="inlineStr">
        <is>
          <t>Frontend</t>
        </is>
      </c>
      <c r="E35" s="3" t="inlineStr">
        <is>
          <t>Feature</t>
        </is>
      </c>
      <c r="F35" s="5" t="inlineStr">
        <is>
          <t>Monitor</t>
        </is>
      </c>
      <c r="G35" s="5" t="inlineStr">
        <is>
          <t>Monitor de Alertas em tempo real (socket + firestore) com 5 KPIs e filtros</t>
        </is>
      </c>
      <c r="H35" s="8" t="n">
        <v>8</v>
      </c>
    </row>
    <row r="36" ht="32" customHeight="1">
      <c r="A36" s="3" t="n">
        <v>30</v>
      </c>
      <c r="B36" s="3" t="inlineStr">
        <is>
          <t>2026-04-19</t>
        </is>
      </c>
      <c r="C36" s="3" t="inlineStr">
        <is>
          <t>2026-04-19</t>
        </is>
      </c>
      <c r="D36" s="7" t="inlineStr">
        <is>
          <t>Frontend</t>
        </is>
      </c>
      <c r="E36" s="3" t="inlineStr">
        <is>
          <t>Feature</t>
        </is>
      </c>
      <c r="F36" s="5" t="inlineStr">
        <is>
          <t>Monitor</t>
        </is>
      </c>
      <c r="G36" s="5" t="inlineStr">
        <is>
          <t>Máquina de estados de ownership de atendimento (available→in_progress→closed) com transições guardadas</t>
        </is>
      </c>
      <c r="H36" s="6" t="n">
        <v>5</v>
      </c>
    </row>
    <row r="37" ht="32" customHeight="1">
      <c r="A37" s="3" t="n">
        <v>31</v>
      </c>
      <c r="B37" s="3" t="inlineStr">
        <is>
          <t>2026-04-19</t>
        </is>
      </c>
      <c r="C37" s="3" t="inlineStr">
        <is>
          <t>2026-04-19</t>
        </is>
      </c>
      <c r="D37" s="7" t="inlineStr">
        <is>
          <t>Frontend</t>
        </is>
      </c>
      <c r="E37" s="3" t="inlineStr">
        <is>
          <t>Tests</t>
        </is>
      </c>
      <c r="F37" s="5" t="inlineStr">
        <is>
          <t>Monitor</t>
        </is>
      </c>
      <c r="G37" s="5" t="inlineStr">
        <is>
          <t>Cobertura exaustiva da máquina de estados (attendance-state.ts) com todos os cenários de ownership</t>
        </is>
      </c>
      <c r="H37" s="6" t="n">
        <v>3</v>
      </c>
    </row>
    <row r="38" ht="32" customHeight="1">
      <c r="A38" s="3" t="n">
        <v>32</v>
      </c>
      <c r="B38" s="3" t="inlineStr">
        <is>
          <t>2026-04-19</t>
        </is>
      </c>
      <c r="C38" s="3" t="inlineStr">
        <is>
          <t>2026-04-19</t>
        </is>
      </c>
      <c r="D38" s="7" t="inlineStr">
        <is>
          <t>Frontend</t>
        </is>
      </c>
      <c r="E38" s="3" t="inlineStr">
        <is>
          <t>Feature</t>
        </is>
      </c>
      <c r="F38" s="5" t="inlineStr">
        <is>
          <t>SOS</t>
        </is>
      </c>
      <c r="G38" s="5" t="inlineStr">
        <is>
          <t>SOS Notifications globais (aparecem em qualquer tela) com one-click auto-claim e banner fixo z-80</t>
        </is>
      </c>
      <c r="H38" s="6" t="n">
        <v>5</v>
      </c>
    </row>
    <row r="39" ht="32" customHeight="1">
      <c r="A39" s="3" t="n">
        <v>33</v>
      </c>
      <c r="B39" s="3" t="inlineStr">
        <is>
          <t>2026-04-20</t>
        </is>
      </c>
      <c r="C39" s="3" t="inlineStr">
        <is>
          <t>2026-04-20</t>
        </is>
      </c>
      <c r="D39" s="7" t="inlineStr">
        <is>
          <t>Frontend</t>
        </is>
      </c>
      <c r="E39" s="3" t="inlineStr">
        <is>
          <t>Feature</t>
        </is>
      </c>
      <c r="F39" s="5" t="inlineStr">
        <is>
          <t>SOS</t>
        </is>
      </c>
      <c r="G39" s="5" t="inlineStr">
        <is>
          <t>Alarme sonoro de 2 segundos em chegada de SOS + integração com autoplay policy</t>
        </is>
      </c>
      <c r="H39" s="9" t="n">
        <v>2</v>
      </c>
    </row>
    <row r="40" ht="24" customHeight="1">
      <c r="A40" s="2" t="inlineStr">
        <is>
          <t>6. Agendamento de Alertas</t>
        </is>
      </c>
    </row>
    <row r="41" ht="32" customHeight="1">
      <c r="A41" s="3" t="n">
        <v>34</v>
      </c>
      <c r="B41" s="3" t="inlineStr">
        <is>
          <t>2026-04-19</t>
        </is>
      </c>
      <c r="C41" s="3" t="inlineStr">
        <is>
          <t>2026-04-20</t>
        </is>
      </c>
      <c r="D41" s="7" t="inlineStr">
        <is>
          <t>Frontend</t>
        </is>
      </c>
      <c r="E41" s="3" t="inlineStr">
        <is>
          <t>Feature</t>
        </is>
      </c>
      <c r="F41" s="5" t="inlineStr">
        <is>
          <t>Scheduling</t>
        </is>
      </c>
      <c r="G41" s="5" t="inlineStr">
        <is>
          <t>Calendário FullCalendar (month/week/day) + form de criação de agendamento recorrente + hidratação de edit</t>
        </is>
      </c>
      <c r="H41" s="6" t="n">
        <v>5</v>
      </c>
    </row>
    <row r="42" ht="32" customHeight="1">
      <c r="A42" s="3" t="n">
        <v>35</v>
      </c>
      <c r="B42" s="3" t="inlineStr">
        <is>
          <t>2026-04-19</t>
        </is>
      </c>
      <c r="C42" s="3" t="inlineStr">
        <is>
          <t>2026-04-19</t>
        </is>
      </c>
      <c r="D42" s="7" t="inlineStr">
        <is>
          <t>Frontend</t>
        </is>
      </c>
      <c r="E42" s="3" t="inlineStr">
        <is>
          <t>Feature</t>
        </is>
      </c>
      <c r="F42" s="5" t="inlineStr">
        <is>
          <t>Scheduling</t>
        </is>
      </c>
      <c r="G42" s="5" t="inlineStr">
        <is>
          <t>CRUD de série completa + edição de ocorrência individual + cancelamento da série a partir de uma data</t>
        </is>
      </c>
      <c r="H42" s="6" t="n">
        <v>5</v>
      </c>
    </row>
    <row r="43" ht="32" customHeight="1">
      <c r="A43" s="3" t="n">
        <v>36</v>
      </c>
      <c r="B43" s="3" t="inlineStr">
        <is>
          <t>2026-04-20</t>
        </is>
      </c>
      <c r="C43" s="3" t="inlineStr">
        <is>
          <t>2026-04-20</t>
        </is>
      </c>
      <c r="D43" s="7" t="inlineStr">
        <is>
          <t>Frontend</t>
        </is>
      </c>
      <c r="E43" s="3" t="inlineStr">
        <is>
          <t>Fix</t>
        </is>
      </c>
      <c r="F43" s="5" t="inlineStr">
        <is>
          <t>Scheduling</t>
        </is>
      </c>
      <c r="G43" s="5" t="inlineStr">
        <is>
          <t>Exibição 'HH:MM Nome' em todo evento + leitura do título via backend filterV2</t>
        </is>
      </c>
      <c r="H43" s="9" t="n">
        <v>1</v>
      </c>
    </row>
    <row r="44" ht="24" customHeight="1">
      <c r="A44" s="2" t="inlineStr">
        <is>
          <t>7. Ligações, Escuta Ativa e Gravações</t>
        </is>
      </c>
    </row>
    <row r="45" ht="32" customHeight="1">
      <c r="A45" s="3" t="n">
        <v>37</v>
      </c>
      <c r="B45" s="3" t="inlineStr">
        <is>
          <t>2026-04-07</t>
        </is>
      </c>
      <c r="C45" s="3" t="inlineStr">
        <is>
          <t>2026-04-10</t>
        </is>
      </c>
      <c r="D45" s="4" t="inlineStr">
        <is>
          <t>App</t>
        </is>
      </c>
      <c r="E45" s="3" t="inlineStr">
        <is>
          <t>Feature</t>
        </is>
      </c>
      <c r="F45" s="5" t="inlineStr">
        <is>
          <t>Calls</t>
        </is>
      </c>
      <c r="G45" s="5" t="inlineStr">
        <is>
          <t>Suporte SILENT_LISTEN + mic mute + call handling enhanced (alertport-app) + panel de central</t>
        </is>
      </c>
      <c r="H45" s="6" t="n">
        <v>5</v>
      </c>
    </row>
    <row r="46" ht="32" customHeight="1">
      <c r="A46" s="3" t="n">
        <v>38</v>
      </c>
      <c r="B46" s="3" t="inlineStr">
        <is>
          <t>2026-04-09</t>
        </is>
      </c>
      <c r="C46" s="3" t="inlineStr">
        <is>
          <t>2026-04-17</t>
        </is>
      </c>
      <c r="D46" s="4" t="inlineStr">
        <is>
          <t>App</t>
        </is>
      </c>
      <c r="E46" s="3" t="inlineStr">
        <is>
          <t>Feature</t>
        </is>
      </c>
      <c r="F46" s="5" t="inlineStr">
        <is>
          <t>Calls</t>
        </is>
      </c>
      <c r="G46" s="5" t="inlineStr">
        <is>
          <t>Background call handling + foreground socket service + QR login + chat identity fix após QR login (alertport-app)</t>
        </is>
      </c>
      <c r="H46" s="8" t="n">
        <v>8</v>
      </c>
    </row>
    <row r="47" ht="32" customHeight="1">
      <c r="A47" s="3" t="n">
        <v>39</v>
      </c>
      <c r="B47" s="3" t="inlineStr">
        <is>
          <t>2026-04-08</t>
        </is>
      </c>
      <c r="C47" s="3" t="inlineStr">
        <is>
          <t>2026-04-08</t>
        </is>
      </c>
      <c r="D47" s="10" t="inlineStr">
        <is>
          <t>Backend</t>
        </is>
      </c>
      <c r="E47" s="3" t="inlineStr">
        <is>
          <t>Feature</t>
        </is>
      </c>
      <c r="F47" s="5" t="inlineStr">
        <is>
          <t>Calls</t>
        </is>
      </c>
      <c r="G47" s="5" t="inlineStr">
        <is>
          <t>ms-chat: tipo de cliente ALERTPORT_DEVICE + testes unitários</t>
        </is>
      </c>
      <c r="H47" s="9" t="n">
        <v>2</v>
      </c>
    </row>
    <row r="48" ht="32" customHeight="1">
      <c r="A48" s="3" t="n">
        <v>40</v>
      </c>
      <c r="B48" s="3" t="inlineStr">
        <is>
          <t>2026-04-16</t>
        </is>
      </c>
      <c r="C48" s="3" t="inlineStr">
        <is>
          <t>2026-04-17</t>
        </is>
      </c>
      <c r="D48" s="7" t="inlineStr">
        <is>
          <t>Frontend</t>
        </is>
      </c>
      <c r="E48" s="3" t="inlineStr">
        <is>
          <t>Feature</t>
        </is>
      </c>
      <c r="F48" s="5" t="inlineStr">
        <is>
          <t>Calls</t>
        </is>
      </c>
      <c r="G48" s="5" t="inlineStr">
        <is>
          <t>Diálogo de ligação com WebRTC bidirecional (normal call) + controles mic/remote + i18n</t>
        </is>
      </c>
      <c r="H48" s="8" t="n">
        <v>8</v>
      </c>
    </row>
    <row r="49" ht="32" customHeight="1">
      <c r="A49" s="3" t="n">
        <v>41</v>
      </c>
      <c r="B49" s="3" t="inlineStr">
        <is>
          <t>2026-04-17</t>
        </is>
      </c>
      <c r="C49" s="3" t="inlineStr">
        <is>
          <t>2026-04-18</t>
        </is>
      </c>
      <c r="D49" s="7" t="inlineStr">
        <is>
          <t>Frontend</t>
        </is>
      </c>
      <c r="E49" s="3" t="inlineStr">
        <is>
          <t>Feature</t>
        </is>
      </c>
      <c r="F49" s="5" t="inlineStr">
        <is>
          <t>Calls</t>
        </is>
      </c>
      <c r="G49" s="5" t="inlineStr">
        <is>
          <t>SILENT_LISTEN no admin-web: mic travado, escuta do ambiente sem vigia saber, banner fixo 'gravação ativa'</t>
        </is>
      </c>
      <c r="H49" s="6" t="n">
        <v>5</v>
      </c>
    </row>
    <row r="50" ht="32" customHeight="1">
      <c r="A50" s="3" t="n">
        <v>42</v>
      </c>
      <c r="B50" s="3" t="inlineStr">
        <is>
          <t>2026-04-17</t>
        </is>
      </c>
      <c r="C50" s="3" t="inlineStr">
        <is>
          <t>2026-04-17</t>
        </is>
      </c>
      <c r="D50" s="10" t="inlineStr">
        <is>
          <t>Backend</t>
        </is>
      </c>
      <c r="E50" s="3" t="inlineStr">
        <is>
          <t>Feature</t>
        </is>
      </c>
      <c r="F50" s="5" t="inlineStr">
        <is>
          <t>Calls</t>
        </is>
      </c>
      <c r="G50" s="5" t="inlineStr">
        <is>
          <t>ms-chat: diagnosis cross-tenant em call:start ack (identifica presença do peer em outra conta)</t>
        </is>
      </c>
      <c r="H50" s="6" t="n">
        <v>3</v>
      </c>
    </row>
    <row r="51" ht="32" customHeight="1">
      <c r="A51" s="3" t="n">
        <v>43</v>
      </c>
      <c r="B51" s="3" t="inlineStr">
        <is>
          <t>2026-04-18</t>
        </is>
      </c>
      <c r="C51" s="3" t="inlineStr">
        <is>
          <t>2026-04-18</t>
        </is>
      </c>
      <c r="D51" s="10" t="inlineStr">
        <is>
          <t>Backend</t>
        </is>
      </c>
      <c r="E51" s="3" t="inlineStr">
        <is>
          <t>Feature</t>
        </is>
      </c>
      <c r="F51" s="5" t="inlineStr">
        <is>
          <t>Recordings</t>
        </is>
      </c>
      <c r="G51" s="5" t="inlineStr">
        <is>
          <t>ms-chat: handlers call:recordings:list + call:recording:url + 3-min auto-finalize do SILENT_LISTEN</t>
        </is>
      </c>
      <c r="H51" s="6" t="n">
        <v>5</v>
      </c>
    </row>
    <row r="52" ht="32" customHeight="1">
      <c r="A52" s="3" t="n">
        <v>44</v>
      </c>
      <c r="B52" s="3" t="inlineStr">
        <is>
          <t>2026-04-18</t>
        </is>
      </c>
      <c r="C52" s="3" t="inlineStr">
        <is>
          <t>2026-04-18</t>
        </is>
      </c>
      <c r="D52" s="10" t="inlineStr">
        <is>
          <t>Backend</t>
        </is>
      </c>
      <c r="E52" s="3" t="inlineStr">
        <is>
          <t>Fix</t>
        </is>
      </c>
      <c r="F52" s="5" t="inlineStr">
        <is>
          <t>Recordings</t>
        </is>
      </c>
      <c r="G52" s="5" t="inlineStr">
        <is>
          <t>ms-chat: SILENT_LISTEN sempre grava (bypass do flag callRecordingEnabled) + audit tests</t>
        </is>
      </c>
      <c r="H52" s="6" t="n">
        <v>3</v>
      </c>
    </row>
    <row r="53" ht="32" customHeight="1">
      <c r="A53" s="3" t="n">
        <v>45</v>
      </c>
      <c r="B53" s="3" t="inlineStr">
        <is>
          <t>2026-04-18</t>
        </is>
      </c>
      <c r="C53" s="3" t="inlineStr">
        <is>
          <t>2026-04-18</t>
        </is>
      </c>
      <c r="D53" s="10" t="inlineStr">
        <is>
          <t>Backend</t>
        </is>
      </c>
      <c r="E53" s="3" t="inlineStr">
        <is>
          <t>Fix</t>
        </is>
      </c>
      <c r="F53" s="5" t="inlineStr">
        <is>
          <t>Recordings</t>
        </is>
      </c>
      <c r="G53" s="5" t="inlineStr">
        <is>
          <t>ms-chat: ler SHIELD_AWS_BUCKET_NAME lazily (não no module load) pra pegar após loadEnv()</t>
        </is>
      </c>
      <c r="H53" s="9" t="n">
        <v>1</v>
      </c>
    </row>
    <row r="54" ht="32" customHeight="1">
      <c r="A54" s="3" t="n">
        <v>46</v>
      </c>
      <c r="B54" s="3" t="inlineStr">
        <is>
          <t>2026-04-18</t>
        </is>
      </c>
      <c r="C54" s="3" t="inlineStr">
        <is>
          <t>2026-04-18</t>
        </is>
      </c>
      <c r="D54" s="10" t="inlineStr">
        <is>
          <t>Backend</t>
        </is>
      </c>
      <c r="E54" s="3" t="inlineStr">
        <is>
          <t>Feature</t>
        </is>
      </c>
      <c r="F54" s="5" t="inlineStr">
        <is>
          <t>Recordings</t>
        </is>
      </c>
      <c r="G54" s="5" t="inlineStr">
        <is>
          <t>ms-chat: filtros em listRecordings (client/site/date/mode) + SAM accountId override via payload</t>
        </is>
      </c>
      <c r="H54" s="6" t="n">
        <v>3</v>
      </c>
    </row>
    <row r="55" ht="32" customHeight="1">
      <c r="A55" s="3" t="n">
        <v>47</v>
      </c>
      <c r="B55" s="3" t="inlineStr">
        <is>
          <t>2026-04-18</t>
        </is>
      </c>
      <c r="C55" s="3" t="inlineStr">
        <is>
          <t>2026-04-18</t>
        </is>
      </c>
      <c r="D55" s="10" t="inlineStr">
        <is>
          <t>Backend</t>
        </is>
      </c>
      <c r="E55" s="3" t="inlineStr">
        <is>
          <t>Fix</t>
        </is>
      </c>
      <c r="F55" s="5" t="inlineStr">
        <is>
          <t>Recordings</t>
        </is>
      </c>
      <c r="G55" s="5" t="inlineStr">
        <is>
          <t>ms-chat: auto-resolve siteId/clientId do device peer no upload (enriquecimento server-side)</t>
        </is>
      </c>
      <c r="H55" s="9" t="n">
        <v>2</v>
      </c>
    </row>
    <row r="56" ht="32" customHeight="1">
      <c r="A56" s="3" t="n">
        <v>48</v>
      </c>
      <c r="B56" s="3" t="inlineStr">
        <is>
          <t>2026-04-18</t>
        </is>
      </c>
      <c r="C56" s="3" t="inlineStr">
        <is>
          <t>2026-04-18</t>
        </is>
      </c>
      <c r="D56" s="7" t="inlineStr">
        <is>
          <t>Frontend</t>
        </is>
      </c>
      <c r="E56" s="3" t="inlineStr">
        <is>
          <t>Feature</t>
        </is>
      </c>
      <c r="F56" s="5" t="inlineStr">
        <is>
          <t>Recordings</t>
        </is>
      </c>
      <c r="G56" s="5" t="inlineStr">
        <is>
          <t>Listagem paginada de gravações com keyset cursor + banner de silent-listen em página /alerts/recordings</t>
        </is>
      </c>
      <c r="H56" s="6" t="n">
        <v>3</v>
      </c>
    </row>
    <row r="57" ht="32" customHeight="1">
      <c r="A57" s="3" t="n">
        <v>49</v>
      </c>
      <c r="B57" s="3" t="inlineStr">
        <is>
          <t>2026-04-18</t>
        </is>
      </c>
      <c r="C57" s="3" t="inlineStr">
        <is>
          <t>2026-04-18</t>
        </is>
      </c>
      <c r="D57" s="7" t="inlineStr">
        <is>
          <t>Frontend</t>
        </is>
      </c>
      <c r="E57" s="3" t="inlineStr">
        <is>
          <t>Feature</t>
        </is>
      </c>
      <c r="F57" s="5" t="inlineStr">
        <is>
          <t>Recordings</t>
        </is>
      </c>
      <c r="G57" s="5" t="inlineStr">
        <is>
          <t>Filtros na listagem de gravações: hierarquia (account/client/site) + datas + modo (NORMAL/SILENT_LISTEN)</t>
        </is>
      </c>
      <c r="H57" s="6" t="n">
        <v>3</v>
      </c>
    </row>
    <row r="58" ht="32" customHeight="1">
      <c r="A58" s="3" t="n">
        <v>50</v>
      </c>
      <c r="B58" s="3" t="inlineStr">
        <is>
          <t>2026-04-19</t>
        </is>
      </c>
      <c r="C58" s="3" t="inlineStr">
        <is>
          <t>2026-04-19</t>
        </is>
      </c>
      <c r="D58" s="7" t="inlineStr">
        <is>
          <t>Frontend</t>
        </is>
      </c>
      <c r="E58" s="3" t="inlineStr">
        <is>
          <t>Feature</t>
        </is>
      </c>
      <c r="F58" s="5" t="inlineStr">
        <is>
          <t>Recordings</t>
        </is>
      </c>
      <c r="G58" s="5" t="inlineStr">
        <is>
          <t>Operator-initiated call recording (botão REC no diálogo) + live monitor de duração + hard-cap 3 min</t>
        </is>
      </c>
      <c r="H58" s="6" t="n">
        <v>5</v>
      </c>
    </row>
    <row r="59" ht="32" customHeight="1">
      <c r="A59" s="3" t="n">
        <v>51</v>
      </c>
      <c r="B59" s="3" t="inlineStr">
        <is>
          <t>2026-04-19</t>
        </is>
      </c>
      <c r="C59" s="3" t="inlineStr">
        <is>
          <t>2026-04-19</t>
        </is>
      </c>
      <c r="D59" s="10" t="inlineStr">
        <is>
          <t>Backend</t>
        </is>
      </c>
      <c r="E59" s="3" t="inlineStr">
        <is>
          <t>Feature</t>
        </is>
      </c>
      <c r="F59" s="5" t="inlineStr">
        <is>
          <t>Recordings</t>
        </is>
      </c>
      <c r="G59" s="5" t="inlineStr">
        <is>
          <t>ms-company: endpoint REST de gravações escopado por empresa (alternativa ao socket)</t>
        </is>
      </c>
      <c r="H59" s="6" t="n">
        <v>3</v>
      </c>
    </row>
    <row r="60" ht="32" customHeight="1">
      <c r="A60" s="3" t="n">
        <v>52</v>
      </c>
      <c r="B60" s="3" t="inlineStr">
        <is>
          <t>2026-04-19</t>
        </is>
      </c>
      <c r="C60" s="3" t="inlineStr">
        <is>
          <t>2026-04-19</t>
        </is>
      </c>
      <c r="D60" s="10" t="inlineStr">
        <is>
          <t>Backend</t>
        </is>
      </c>
      <c r="E60" s="3" t="inlineStr">
        <is>
          <t>Feature</t>
        </is>
      </c>
      <c r="F60" s="5" t="inlineStr">
        <is>
          <t>Recordings</t>
        </is>
      </c>
      <c r="G60" s="5" t="inlineStr">
        <is>
          <t>api-gateway: proxy /api/company/recordings/* → ms-company</t>
        </is>
      </c>
      <c r="H60" s="9" t="n">
        <v>2</v>
      </c>
    </row>
    <row r="61" ht="32" customHeight="1">
      <c r="A61" s="3" t="n">
        <v>53</v>
      </c>
      <c r="B61" s="3" t="inlineStr">
        <is>
          <t>2026-04-19</t>
        </is>
      </c>
      <c r="C61" s="3" t="inlineStr">
        <is>
          <t>2026-04-19</t>
        </is>
      </c>
      <c r="D61" s="10" t="inlineStr">
        <is>
          <t>Backend</t>
        </is>
      </c>
      <c r="E61" s="3" t="inlineStr">
        <is>
          <t>Fix</t>
        </is>
      </c>
      <c r="F61" s="5" t="inlineStr">
        <is>
          <t>Recordings</t>
        </is>
      </c>
      <c r="G61" s="5" t="inlineStr">
        <is>
          <t>ms-chat: aceitar user.company como fallback de sessão para SAM quando user.account é nulo</t>
        </is>
      </c>
      <c r="H61" s="9" t="n">
        <v>2</v>
      </c>
    </row>
    <row r="62" ht="32" customHeight="1">
      <c r="A62" s="3" t="n">
        <v>54</v>
      </c>
      <c r="B62" s="3" t="inlineStr">
        <is>
          <t>2026-04-20</t>
        </is>
      </c>
      <c r="C62" s="3" t="inlineStr">
        <is>
          <t>2026-04-20</t>
        </is>
      </c>
      <c r="D62" s="7" t="inlineStr">
        <is>
          <t>Frontend</t>
        </is>
      </c>
      <c r="E62" s="3" t="inlineStr">
        <is>
          <t>Fix</t>
        </is>
      </c>
      <c r="F62" s="5" t="inlineStr">
        <is>
          <t>Recordings</t>
        </is>
      </c>
      <c r="G62" s="5" t="inlineStr">
        <is>
          <t>Route all recordings through AudioContext: fix de Chromium issue 1142150 (arquivo salvo em silêncio)</t>
        </is>
      </c>
      <c r="H62" s="6" t="n">
        <v>3</v>
      </c>
    </row>
    <row r="63" ht="32" customHeight="1">
      <c r="A63" s="3" t="n">
        <v>55</v>
      </c>
      <c r="B63" s="3" t="inlineStr">
        <is>
          <t>2026-04-20</t>
        </is>
      </c>
      <c r="C63" s="3" t="inlineStr">
        <is>
          <t>2026-04-20</t>
        </is>
      </c>
      <c r="D63" s="7" t="inlineStr">
        <is>
          <t>Frontend</t>
        </is>
      </c>
      <c r="E63" s="3" t="inlineStr">
        <is>
          <t>Feature</t>
        </is>
      </c>
      <c r="F63" s="5" t="inlineStr">
        <is>
          <t>Recordings</t>
        </is>
      </c>
      <c r="G63" s="5" t="inlineStr">
        <is>
          <t>Cross-browser audio recording: MIME picker com fallback MP4/AAC para Safari, detectAudioCapture helper, aviso UI quando browser não grava</t>
        </is>
      </c>
      <c r="H63" s="6" t="n">
        <v>3</v>
      </c>
    </row>
    <row r="64" ht="32" customHeight="1">
      <c r="A64" s="3" t="n">
        <v>56</v>
      </c>
      <c r="B64" s="3" t="inlineStr">
        <is>
          <t>2026-04-20</t>
        </is>
      </c>
      <c r="C64" s="3" t="inlineStr">
        <is>
          <t>2026-04-20</t>
        </is>
      </c>
      <c r="D64" s="10" t="inlineStr">
        <is>
          <t>Backend</t>
        </is>
      </c>
      <c r="E64" s="3" t="inlineStr">
        <is>
          <t>Fix</t>
        </is>
      </c>
      <c r="F64" s="5" t="inlineStr">
        <is>
          <t>Recordings</t>
        </is>
      </c>
      <c r="G64" s="5" t="inlineStr">
        <is>
          <t>ms-chat: SAM cross-tenant list + playback (allowCrossTenant flag) + 5 testes unitários</t>
        </is>
      </c>
      <c r="H64" s="6" t="n">
        <v>3</v>
      </c>
    </row>
    <row r="65" ht="32" customHeight="1">
      <c r="A65" s="3" t="n">
        <v>57</v>
      </c>
      <c r="B65" s="3" t="inlineStr">
        <is>
          <t>2026-04-20</t>
        </is>
      </c>
      <c r="C65" s="3" t="inlineStr">
        <is>
          <t>2026-04-20</t>
        </is>
      </c>
      <c r="D65" s="7" t="inlineStr">
        <is>
          <t>Frontend</t>
        </is>
      </c>
      <c r="E65" s="3" t="inlineStr">
        <is>
          <t>Feature</t>
        </is>
      </c>
      <c r="F65" s="5" t="inlineStr">
        <is>
          <t>Recordings</t>
        </is>
      </c>
      <c r="G65" s="5" t="inlineStr">
        <is>
          <t>Mostrar clientName na linha da gravação + 7 regression tests para role-scope /alerts/recordings</t>
        </is>
      </c>
      <c r="H65" s="9" t="n">
        <v>2</v>
      </c>
    </row>
    <row r="66" ht="24" customHeight="1">
      <c r="A66" s="2" t="inlineStr">
        <is>
          <t>8. Relatórios</t>
        </is>
      </c>
    </row>
    <row r="67" ht="32" customHeight="1">
      <c r="A67" s="3" t="n">
        <v>58</v>
      </c>
      <c r="B67" s="3" t="inlineStr">
        <is>
          <t>2026-04-20</t>
        </is>
      </c>
      <c r="C67" s="3" t="inlineStr">
        <is>
          <t>2026-04-20</t>
        </is>
      </c>
      <c r="D67" s="10" t="inlineStr">
        <is>
          <t>Backend</t>
        </is>
      </c>
      <c r="E67" s="3" t="inlineStr">
        <is>
          <t>Feature</t>
        </is>
      </c>
      <c r="F67" s="5" t="inlineStr">
        <is>
          <t>Reports</t>
        </is>
      </c>
      <c r="G67" s="5" t="inlineStr">
        <is>
          <t>AlertPort reports module: 4 endpoints REST sob /api/reports/alertport/* (adherence/attendance/sos/sla)</t>
        </is>
      </c>
      <c r="H67" s="6" t="n">
        <v>5</v>
      </c>
    </row>
    <row r="68" ht="32" customHeight="1">
      <c r="A68" s="3" t="n">
        <v>59</v>
      </c>
      <c r="B68" s="3" t="inlineStr">
        <is>
          <t>2026-04-20</t>
        </is>
      </c>
      <c r="C68" s="3" t="inlineStr">
        <is>
          <t>2026-04-20</t>
        </is>
      </c>
      <c r="D68" s="7" t="inlineStr">
        <is>
          <t>Frontend</t>
        </is>
      </c>
      <c r="E68" s="3" t="inlineStr">
        <is>
          <t>Feature</t>
        </is>
      </c>
      <c r="F68" s="5" t="inlineStr">
        <is>
          <t>Reports</t>
        </is>
      </c>
      <c r="G68" s="5" t="inlineStr">
        <is>
          <t>4 relatórios (Aderência de Ronda, Controle de Presença, Alertas SOS, SLA de Atendimento) com KPIs + tabelas + gráficos</t>
        </is>
      </c>
      <c r="H68" s="8" t="n">
        <v>8</v>
      </c>
    </row>
    <row r="69" ht="32" customHeight="1">
      <c r="A69" s="3" t="n">
        <v>60</v>
      </c>
      <c r="B69" s="3" t="inlineStr">
        <is>
          <t>2026-04-20</t>
        </is>
      </c>
      <c r="C69" s="3" t="inlineStr">
        <is>
          <t>2026-04-20</t>
        </is>
      </c>
      <c r="D69" s="7" t="inlineStr">
        <is>
          <t>Frontend</t>
        </is>
      </c>
      <c r="E69" s="3" t="inlineStr">
        <is>
          <t>Feature</t>
        </is>
      </c>
      <c r="F69" s="5" t="inlineStr">
        <is>
          <t>Reports</t>
        </is>
      </c>
      <c r="G69" s="5" t="inlineStr">
        <is>
          <t>Exportação de relatórios em XLSX/CSV/PDF + guarda de 30 dias de range máximo</t>
        </is>
      </c>
      <c r="H69" s="6" t="n">
        <v>3</v>
      </c>
    </row>
    <row r="70" ht="32" customHeight="1">
      <c r="A70" s="3" t="n">
        <v>61</v>
      </c>
      <c r="B70" s="3" t="inlineStr">
        <is>
          <t>2026-04-20</t>
        </is>
      </c>
      <c r="C70" s="3" t="inlineStr">
        <is>
          <t>2026-04-20</t>
        </is>
      </c>
      <c r="D70" s="7" t="inlineStr">
        <is>
          <t>Frontend</t>
        </is>
      </c>
      <c r="E70" s="3" t="inlineStr">
        <is>
          <t>Feature</t>
        </is>
      </c>
      <c r="F70" s="5" t="inlineStr">
        <is>
          <t>Reports</t>
        </is>
      </c>
      <c r="G70" s="5" t="inlineStr">
        <is>
          <t>FilterPanel compacto com hierarquia + datas + extras em grid denso de uma linha</t>
        </is>
      </c>
      <c r="H70" s="9" t="n">
        <v>2</v>
      </c>
    </row>
    <row r="71" ht="24" customHeight="1">
      <c r="A71" s="2" t="inlineStr">
        <is>
          <t>9. Internacionalização</t>
        </is>
      </c>
    </row>
    <row r="72" ht="32" customHeight="1">
      <c r="A72" s="3" t="n">
        <v>62</v>
      </c>
      <c r="B72" s="3" t="inlineStr">
        <is>
          <t>2026-04-16</t>
        </is>
      </c>
      <c r="C72" s="3" t="inlineStr">
        <is>
          <t>2026-04-20</t>
        </is>
      </c>
      <c r="D72" s="7" t="inlineStr">
        <is>
          <t>Frontend</t>
        </is>
      </c>
      <c r="E72" s="3" t="inlineStr">
        <is>
          <t>Feature</t>
        </is>
      </c>
      <c r="F72" s="5" t="inlineStr">
        <is>
          <t>i18n</t>
        </is>
      </c>
      <c r="G72" s="5" t="inlineStr">
        <is>
          <t>5 locales (pt/en/es/ja/zh) com ~500 keys: auth, sidebar, CRUDs, monitor, relatórios, calls, trial, onboarding, modules</t>
        </is>
      </c>
      <c r="H72" s="8" t="n">
        <v>8</v>
      </c>
    </row>
    <row r="73" ht="32" customHeight="1">
      <c r="A73" s="3" t="n">
        <v>63</v>
      </c>
      <c r="B73" s="3" t="inlineStr">
        <is>
          <t>2026-04-20</t>
        </is>
      </c>
      <c r="C73" s="3" t="inlineStr">
        <is>
          <t>2026-04-20</t>
        </is>
      </c>
      <c r="D73" s="7" t="inlineStr">
        <is>
          <t>Frontend</t>
        </is>
      </c>
      <c r="E73" s="3" t="inlineStr">
        <is>
          <t>Refactor</t>
        </is>
      </c>
      <c r="F73" s="5" t="inlineStr">
        <is>
          <t>i18n</t>
        </is>
      </c>
      <c r="G73" s="5" t="inlineStr">
        <is>
          <t>Remover 355 em-dashes (U+2014) do código e mensagens + teste que falha build se um voltar</t>
        </is>
      </c>
      <c r="H73" s="9" t="n">
        <v>2</v>
      </c>
    </row>
    <row r="74" ht="24" customHeight="1">
      <c r="A74" s="2" t="inlineStr">
        <is>
          <t>10. Testes e Qualidade</t>
        </is>
      </c>
    </row>
    <row r="75" ht="32" customHeight="1">
      <c r="A75" s="3" t="n">
        <v>64</v>
      </c>
      <c r="B75" s="3" t="inlineStr">
        <is>
          <t>2026-04-17</t>
        </is>
      </c>
      <c r="C75" s="3" t="inlineStr">
        <is>
          <t>2026-04-20</t>
        </is>
      </c>
      <c r="D75" s="7" t="inlineStr">
        <is>
          <t>Frontend</t>
        </is>
      </c>
      <c r="E75" s="3" t="inlineStr">
        <is>
          <t>Tests</t>
        </is>
      </c>
      <c r="F75" s="5" t="inlineStr">
        <is>
          <t>Suite</t>
        </is>
      </c>
      <c r="G75" s="5" t="inlineStr">
        <is>
          <t>Suite de testes com 288+ casos (unit, integration, contract, i18n parity, state machine, hooks, forms)</t>
        </is>
      </c>
      <c r="H75" s="8" t="n">
        <v>8</v>
      </c>
    </row>
    <row r="76" ht="32" customHeight="1">
      <c r="A76" s="3" t="n">
        <v>65</v>
      </c>
      <c r="B76" s="3" t="inlineStr">
        <is>
          <t>2026-04-20</t>
        </is>
      </c>
      <c r="C76" s="3" t="inlineStr">
        <is>
          <t>2026-04-20</t>
        </is>
      </c>
      <c r="D76" s="7" t="inlineStr">
        <is>
          <t>Frontend</t>
        </is>
      </c>
      <c r="E76" s="3" t="inlineStr">
        <is>
          <t>Refactor</t>
        </is>
      </c>
      <c r="F76" s="5" t="inlineStr">
        <is>
          <t>Quality</t>
        </is>
      </c>
      <c r="G76" s="5" t="inlineStr">
        <is>
          <t>Pre-launch hardening pack: ErrorBoundary global, CSP no next.config, logout cleanup completo, interceptor axios 503</t>
        </is>
      </c>
      <c r="H76" s="6" t="n">
        <v>5</v>
      </c>
    </row>
    <row r="77" ht="32" customHeight="1">
      <c r="A77" s="3" t="n">
        <v>66</v>
      </c>
      <c r="B77" s="3" t="inlineStr">
        <is>
          <t>2026-04-20</t>
        </is>
      </c>
      <c r="C77" s="3" t="inlineStr">
        <is>
          <t>2026-04-20</t>
        </is>
      </c>
      <c r="D77" s="10" t="inlineStr">
        <is>
          <t>Backend</t>
        </is>
      </c>
      <c r="E77" s="3" t="inlineStr">
        <is>
          <t>Refactor</t>
        </is>
      </c>
      <c r="F77" s="5" t="inlineStr">
        <is>
          <t>Quality</t>
        </is>
      </c>
      <c r="G77" s="5" t="inlineStr">
        <is>
          <t>Security pre-launch across 12 controllers (ms-company/ms-user/api-gateway/ms-worker-events): file upload filter, SQL injection fix, remove console.log, auth checks</t>
        </is>
      </c>
      <c r="H77" s="8" t="n">
        <v>8</v>
      </c>
    </row>
    <row r="78" ht="24" customHeight="1">
      <c r="A78" s="2" t="inlineStr">
        <is>
          <t>11. Onboarding Guiado</t>
        </is>
      </c>
    </row>
    <row r="79" ht="32" customHeight="1">
      <c r="A79" s="3" t="n">
        <v>67</v>
      </c>
      <c r="B79" s="3" t="inlineStr">
        <is>
          <t>2026-04-20</t>
        </is>
      </c>
      <c r="C79" s="3" t="inlineStr">
        <is>
          <t>2026-04-20</t>
        </is>
      </c>
      <c r="D79" s="10" t="inlineStr">
        <is>
          <t>Backend</t>
        </is>
      </c>
      <c r="E79" s="3" t="inlineStr">
        <is>
          <t>Feature</t>
        </is>
      </c>
      <c r="F79" s="5" t="inlineStr">
        <is>
          <t>Onboarding</t>
        </is>
      </c>
      <c r="G79" s="5" t="inlineStr">
        <is>
          <t>ms-user: endpoints de onboarding (status/complete) persistindo via native Mongo driver (sem tocar hp-shield-crud)</t>
        </is>
      </c>
      <c r="H79" s="6" t="n">
        <v>3</v>
      </c>
    </row>
    <row r="80" ht="32" customHeight="1">
      <c r="A80" s="3" t="n">
        <v>68</v>
      </c>
      <c r="B80" s="3" t="inlineStr">
        <is>
          <t>2026-04-20</t>
        </is>
      </c>
      <c r="C80" s="3" t="inlineStr">
        <is>
          <t>2026-04-20</t>
        </is>
      </c>
      <c r="D80" s="7" t="inlineStr">
        <is>
          <t>Frontend</t>
        </is>
      </c>
      <c r="E80" s="3" t="inlineStr">
        <is>
          <t>Feature</t>
        </is>
      </c>
      <c r="F80" s="5" t="inlineStr">
        <is>
          <t>Onboarding</t>
        </is>
      </c>
      <c r="G80" s="5" t="inlineStr">
        <is>
          <t>Tours guiados ADMIN (19 passos) + OPERATOR (12 passos) com react-joyride v3 lazy-loaded</t>
        </is>
      </c>
      <c r="H80" s="8" t="n">
        <v>8</v>
      </c>
    </row>
    <row r="81" ht="32" customHeight="1">
      <c r="A81" s="3" t="n">
        <v>69</v>
      </c>
      <c r="B81" s="3" t="inlineStr">
        <is>
          <t>2026-04-20</t>
        </is>
      </c>
      <c r="C81" s="3" t="inlineStr">
        <is>
          <t>2026-04-20</t>
        </is>
      </c>
      <c r="D81" s="7" t="inlineStr">
        <is>
          <t>Frontend</t>
        </is>
      </c>
      <c r="E81" s="3" t="inlineStr">
        <is>
          <t>Feature</t>
        </is>
      </c>
      <c r="F81" s="5" t="inlineStr">
        <is>
          <t>Onboarding</t>
        </is>
      </c>
      <c r="G81" s="5" t="inlineStr">
        <is>
          <t>Route-aware premium tour: cada passo fixa uma rota, provider navega via router.push, spotlight em componente real (data-tour anchors)</t>
        </is>
      </c>
      <c r="H81" s="6" t="n">
        <v>5</v>
      </c>
    </row>
    <row r="82" ht="32" customHeight="1">
      <c r="A82" s="3" t="n">
        <v>70</v>
      </c>
      <c r="B82" s="3" t="inlineStr">
        <is>
          <t>2026-04-20</t>
        </is>
      </c>
      <c r="C82" s="3" t="inlineStr">
        <is>
          <t>2026-04-20</t>
        </is>
      </c>
      <c r="D82" s="7" t="inlineStr">
        <is>
          <t>Frontend</t>
        </is>
      </c>
      <c r="E82" s="3" t="inlineStr">
        <is>
          <t>Fix</t>
        </is>
      </c>
      <c r="F82" s="5" t="inlineStr">
        <is>
          <t>Onboarding</t>
        </is>
      </c>
      <c r="G82" s="5" t="inlineStr">
        <is>
          <t>Persist on last-step Finish (corrige race com SOS) + yield overlay para SOS/call ao vivo + role-lock em replay</t>
        </is>
      </c>
      <c r="H82" s="6" t="n">
        <v>3</v>
      </c>
    </row>
    <row r="83" ht="24" customHeight="1">
      <c r="A83" s="2" t="inlineStr">
        <is>
          <t>12. Gestão de Módulos (plano customizado)</t>
        </is>
      </c>
    </row>
    <row r="84" ht="32" customHeight="1">
      <c r="A84" s="3" t="n">
        <v>71</v>
      </c>
      <c r="B84" s="3" t="inlineStr">
        <is>
          <t>2026-04-20</t>
        </is>
      </c>
      <c r="C84" s="3" t="inlineStr">
        <is>
          <t>2026-04-20</t>
        </is>
      </c>
      <c r="D84" s="10" t="inlineStr">
        <is>
          <t>Backend</t>
        </is>
      </c>
      <c r="E84" s="3" t="inlineStr">
        <is>
          <t>Feature</t>
        </is>
      </c>
      <c r="F84" s="5" t="inlineStr">
        <is>
          <t>Modules</t>
        </is>
      </c>
      <c r="G84" s="5" t="inlineStr">
        <is>
          <t>ms-company: controller + 3 rotas (catalog, getByAccount, saveByAccount) + api-gateway proxy + nova coleção account-modules</t>
        </is>
      </c>
      <c r="H84" s="6" t="n">
        <v>5</v>
      </c>
    </row>
    <row r="85" ht="32" customHeight="1">
      <c r="A85" s="3" t="n">
        <v>72</v>
      </c>
      <c r="B85" s="3" t="inlineStr">
        <is>
          <t>2026-04-20</t>
        </is>
      </c>
      <c r="C85" s="3" t="inlineStr">
        <is>
          <t>2026-04-20</t>
        </is>
      </c>
      <c r="D85" s="7" t="inlineStr">
        <is>
          <t>Frontend</t>
        </is>
      </c>
      <c r="E85" s="3" t="inlineStr">
        <is>
          <t>Feature</t>
        </is>
      </c>
      <c r="F85" s="5" t="inlineStr">
        <is>
          <t>Modules</t>
        </is>
      </c>
      <c r="G85" s="5" t="inlineStr">
        <is>
          <t>Tela /modules SUPER_ADMIN_MASTER-only: seletor de empresa com busca + lista de 14 módulos em checkbox por categoria + save com dirty-check</t>
        </is>
      </c>
      <c r="H85" s="6" t="n">
        <v>5</v>
      </c>
    </row>
    <row r="86" ht="32" customHeight="1">
      <c r="A86" s="3" t="n">
        <v>73</v>
      </c>
      <c r="B86" s="3" t="inlineStr">
        <is>
          <t>2026-04-20</t>
        </is>
      </c>
      <c r="C86" s="3" t="inlineStr">
        <is>
          <t>2026-04-20</t>
        </is>
      </c>
      <c r="D86" s="7" t="inlineStr">
        <is>
          <t>Frontend</t>
        </is>
      </c>
      <c r="E86" s="3" t="inlineStr">
        <is>
          <t>Tests</t>
        </is>
      </c>
      <c r="F86" s="5" t="inlineStr">
        <is>
          <t>Modules</t>
        </is>
      </c>
      <c r="G86" s="5" t="inlineStr">
        <is>
          <t>10 testes: contratos de URL, parity i18n dos 14 módulos nos 5 locales, nav entry role-gate</t>
        </is>
      </c>
      <c r="H86" s="9" t="n">
        <v>2</v>
      </c>
    </row>
    <row r="87" ht="24" customHeight="1">
      <c r="A87" s="2" t="inlineStr">
        <is>
          <t>13. App Mobile AlertPort</t>
        </is>
      </c>
    </row>
    <row r="88" ht="32" customHeight="1">
      <c r="A88" s="3" t="n">
        <v>74</v>
      </c>
      <c r="B88" s="3" t="inlineStr">
        <is>
          <t>2026-04-07</t>
        </is>
      </c>
      <c r="C88" s="3" t="inlineStr">
        <is>
          <t>2026-04-07</t>
        </is>
      </c>
      <c r="D88" s="4" t="inlineStr">
        <is>
          <t>App</t>
        </is>
      </c>
      <c r="E88" s="3" t="inlineStr">
        <is>
          <t>Fix</t>
        </is>
      </c>
      <c r="F88" s="5" t="inlineStr">
        <is>
          <t>Infra</t>
        </is>
      </c>
      <c r="G88" s="5" t="inlineStr">
        <is>
          <t>Firestore data sanitization + event enrichment + resilient sync</t>
        </is>
      </c>
      <c r="H88" s="6" t="n">
        <v>3</v>
      </c>
    </row>
    <row r="89" ht="32" customHeight="1">
      <c r="A89" s="3" t="n">
        <v>75</v>
      </c>
      <c r="B89" s="3" t="inlineStr">
        <is>
          <t>2026-04-08</t>
        </is>
      </c>
      <c r="C89" s="3" t="inlineStr">
        <is>
          <t>2026-04-08</t>
        </is>
      </c>
      <c r="D89" s="4" t="inlineStr">
        <is>
          <t>App</t>
        </is>
      </c>
      <c r="E89" s="3" t="inlineStr">
        <is>
          <t>Feature</t>
        </is>
      </c>
      <c r="F89" s="5" t="inlineStr">
        <is>
          <t>Geo</t>
        </is>
      </c>
      <c r="G89" s="5" t="inlineStr">
        <is>
          <t>Geolocation permission rationale screen antes da Home (iOS/Android)</t>
        </is>
      </c>
      <c r="H89" s="9" t="n">
        <v>2</v>
      </c>
    </row>
    <row r="90" ht="32" customHeight="1">
      <c r="A90" s="3" t="n">
        <v>76</v>
      </c>
      <c r="B90" s="3" t="inlineStr">
        <is>
          <t>2026-04-09</t>
        </is>
      </c>
      <c r="C90" s="3" t="inlineStr">
        <is>
          <t>2026-04-09</t>
        </is>
      </c>
      <c r="D90" s="4" t="inlineStr">
        <is>
          <t>App</t>
        </is>
      </c>
      <c r="E90" s="3" t="inlineStr">
        <is>
          <t>Fix</t>
        </is>
      </c>
      <c r="F90" s="5" t="inlineStr">
        <is>
          <t>Quality</t>
        </is>
      </c>
      <c r="G90" s="5" t="inlineStr">
        <is>
          <t>Resolver bugs críticos + memory leaks + profissionalizar app React Native + jest setup</t>
        </is>
      </c>
      <c r="H90" s="6" t="n">
        <v>5</v>
      </c>
    </row>
    <row r="91" ht="32" customHeight="1">
      <c r="A91" s="3" t="n">
        <v>77</v>
      </c>
      <c r="B91" s="3" t="inlineStr">
        <is>
          <t>2026-04-10</t>
        </is>
      </c>
      <c r="C91" s="3" t="inlineStr">
        <is>
          <t>2026-04-12</t>
        </is>
      </c>
      <c r="D91" s="4" t="inlineStr">
        <is>
          <t>App</t>
        </is>
      </c>
      <c r="E91" s="3" t="inlineStr">
        <is>
          <t>Feature</t>
        </is>
      </c>
      <c r="F91" s="5" t="inlineStr">
        <is>
          <t>Calls</t>
        </is>
      </c>
      <c r="G91" s="5" t="inlineStr">
        <is>
          <t>Call handling UI para central + Home + styling + Babel config prod + iOS background modes</t>
        </is>
      </c>
      <c r="H91" s="6" t="n">
        <v>5</v>
      </c>
    </row>
    <row r="92" ht="32" customHeight="1">
      <c r="A92" s="3" t="n">
        <v>78</v>
      </c>
      <c r="B92" s="3" t="inlineStr">
        <is>
          <t>2026-04-17</t>
        </is>
      </c>
      <c r="C92" s="3" t="inlineStr">
        <is>
          <t>2026-04-17</t>
        </is>
      </c>
      <c r="D92" s="4" t="inlineStr">
        <is>
          <t>App</t>
        </is>
      </c>
      <c r="E92" s="3" t="inlineStr">
        <is>
          <t>Feature</t>
        </is>
      </c>
      <c r="F92" s="5" t="inlineStr">
        <is>
          <t>Settings</t>
        </is>
      </c>
      <c r="G92" s="5" t="inlineStr">
        <is>
          <t>Settings Screen com seletor de idioma + theming + atualizar deps</t>
        </is>
      </c>
      <c r="H92" s="6" t="n">
        <v>3</v>
      </c>
    </row>
    <row r="93" ht="32" customHeight="1">
      <c r="A93" s="3" t="n">
        <v>79</v>
      </c>
      <c r="B93" s="3" t="inlineStr">
        <is>
          <t>2026-04-17</t>
        </is>
      </c>
      <c r="C93" s="3" t="inlineStr">
        <is>
          <t>2026-04-17</t>
        </is>
      </c>
      <c r="D93" s="4" t="inlineStr">
        <is>
          <t>App</t>
        </is>
      </c>
      <c r="E93" s="3" t="inlineStr">
        <is>
          <t>Fix</t>
        </is>
      </c>
      <c r="F93" s="5" t="inlineStr">
        <is>
          <t>Auth</t>
        </is>
      </c>
      <c r="G93" s="5" t="inlineStr">
        <is>
          <t>Parse QR site payload para extrair ObjectId (fix login error) + resolve device identity após QR login</t>
        </is>
      </c>
      <c r="H93" s="6" t="n">
        <v>3</v>
      </c>
    </row>
    <row r="94" ht="32" customHeight="1">
      <c r="A94" s="3" t="n">
        <v>80</v>
      </c>
      <c r="B94" s="3" t="inlineStr">
        <is>
          <t>2026-04-18</t>
        </is>
      </c>
      <c r="C94" s="3" t="inlineStr">
        <is>
          <t>2026-04-18</t>
        </is>
      </c>
      <c r="D94" s="4" t="inlineStr">
        <is>
          <t>App</t>
        </is>
      </c>
      <c r="E94" s="3" t="inlineStr">
        <is>
          <t>Fix</t>
        </is>
      </c>
      <c r="F94" s="5" t="inlineStr">
        <is>
          <t>Calls</t>
        </is>
      </c>
      <c r="G94" s="5" t="inlineStr">
        <is>
          <t>Pointar HML env pro ms-chat HML + connected badge + manter mic ON durante silent listen</t>
        </is>
      </c>
      <c r="H94" s="9" t="n">
        <v>2</v>
      </c>
    </row>
    <row r="95" ht="32" customHeight="1">
      <c r="A95" s="3" t="n">
        <v>81</v>
      </c>
      <c r="B95" s="3" t="inlineStr">
        <is>
          <t>2026-04-18</t>
        </is>
      </c>
      <c r="C95" s="3" t="inlineStr">
        <is>
          <t>2026-04-18</t>
        </is>
      </c>
      <c r="D95" s="4" t="inlineStr">
        <is>
          <t>App</t>
        </is>
      </c>
      <c r="E95" s="3" t="inlineStr">
        <is>
          <t>Feature</t>
        </is>
      </c>
      <c r="F95" s="5" t="inlineStr">
        <is>
          <t>Home</t>
        </is>
      </c>
      <c r="G95" s="5" t="inlineStr">
        <is>
          <t>Proactive microphone permission request no mount da Home</t>
        </is>
      </c>
      <c r="H95" s="9" t="n">
        <v>1</v>
      </c>
    </row>
  </sheetData>
  <mergeCells count="13">
    <mergeCell ref="A18:H18"/>
    <mergeCell ref="A78:H78"/>
    <mergeCell ref="A83:H83"/>
    <mergeCell ref="A87:H87"/>
    <mergeCell ref="A7:H7"/>
    <mergeCell ref="A2:H2"/>
    <mergeCell ref="A71:H71"/>
    <mergeCell ref="A33:H33"/>
    <mergeCell ref="A66:H66"/>
    <mergeCell ref="A44:H44"/>
    <mergeCell ref="A23:H23"/>
    <mergeCell ref="A74:H74"/>
    <mergeCell ref="A40:H40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6"/>
  <sheetViews>
    <sheetView workbookViewId="0">
      <selection activeCell="A1" sqref="A1"/>
    </sheetView>
  </sheetViews>
  <sheetFormatPr baseColWidth="8" defaultRowHeight="15"/>
  <cols>
    <col width="28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1" t="inlineStr">
        <is>
          <t>AlertPort - Levantamento de Esforço</t>
        </is>
      </c>
    </row>
    <row r="3">
      <c r="A3" s="12" t="inlineStr">
        <is>
          <t>Período</t>
        </is>
      </c>
      <c r="B3" s="13" t="inlineStr">
        <is>
          <t>Início: 2026-04-07 (app) / 2026-04-16 (web)</t>
        </is>
      </c>
    </row>
    <row r="4">
      <c r="A4" s="13" t="inlineStr">
        <is>
          <t>Conclusão: 2026-04-20 (HML)</t>
        </is>
      </c>
    </row>
    <row r="6">
      <c r="A6" s="14" t="inlineStr">
        <is>
          <t>Totais por Área</t>
        </is>
      </c>
    </row>
    <row r="7">
      <c r="A7" s="15" t="inlineStr">
        <is>
          <t>Área</t>
        </is>
      </c>
      <c r="B7" s="15" t="inlineStr">
        <is>
          <t>Tarefas</t>
        </is>
      </c>
      <c r="C7" s="15" t="inlineStr">
        <is>
          <t>Story Points</t>
        </is>
      </c>
      <c r="D7" s="15" t="inlineStr">
        <is>
          <t>% Tarefas</t>
        </is>
      </c>
      <c r="E7" s="15" t="inlineStr">
        <is>
          <t>% SP</t>
        </is>
      </c>
    </row>
    <row r="8">
      <c r="A8" s="16" t="inlineStr">
        <is>
          <t>Backend</t>
        </is>
      </c>
      <c r="B8" s="3">
        <f>COUNTIF(Tarefas!D2:D95,"Backend")</f>
        <v/>
      </c>
      <c r="C8" s="3">
        <f>SUMIF(Tarefas!D2:D95,"Backend",Tarefas!H2:H95)</f>
        <v/>
      </c>
      <c r="D8" s="17">
        <f>B8/B11</f>
        <v/>
      </c>
      <c r="E8" s="17">
        <f>C8/C11</f>
        <v/>
      </c>
    </row>
    <row r="9">
      <c r="A9" s="18" t="inlineStr">
        <is>
          <t>Frontend</t>
        </is>
      </c>
      <c r="B9" s="3">
        <f>COUNTIF(Tarefas!D2:D95,"Frontend")</f>
        <v/>
      </c>
      <c r="C9" s="3">
        <f>SUMIF(Tarefas!D2:D95,"Frontend",Tarefas!H2:H95)</f>
        <v/>
      </c>
      <c r="D9" s="17">
        <f>B9/B11</f>
        <v/>
      </c>
      <c r="E9" s="17">
        <f>C9/C11</f>
        <v/>
      </c>
    </row>
    <row r="10">
      <c r="A10" s="19" t="inlineStr">
        <is>
          <t>App</t>
        </is>
      </c>
      <c r="B10" s="3">
        <f>COUNTIF(Tarefas!D2:D95,"App")</f>
        <v/>
      </c>
      <c r="C10" s="3">
        <f>SUMIF(Tarefas!D2:D95,"App",Tarefas!H2:H95)</f>
        <v/>
      </c>
      <c r="D10" s="17">
        <f>B10/B11</f>
        <v/>
      </c>
      <c r="E10" s="17">
        <f>C10/C11</f>
        <v/>
      </c>
    </row>
    <row r="11">
      <c r="A11" s="20" t="inlineStr">
        <is>
          <t>TOTAL</t>
        </is>
      </c>
      <c r="B11" s="20">
        <f>SUM(B8:B10)</f>
        <v/>
      </c>
      <c r="C11" s="20">
        <f>SUM(C8:C10)</f>
        <v/>
      </c>
      <c r="D11" s="21">
        <f>SUM(D8:D10)</f>
        <v/>
      </c>
      <c r="E11" s="21">
        <f>SUM(E8:E10)</f>
        <v/>
      </c>
    </row>
    <row r="13">
      <c r="A13" s="14" t="inlineStr">
        <is>
          <t>Totais por Categoria</t>
        </is>
      </c>
    </row>
    <row r="14">
      <c r="A14" s="15" t="inlineStr">
        <is>
          <t>Categoria</t>
        </is>
      </c>
      <c r="B14" s="15" t="inlineStr">
        <is>
          <t>Tarefas</t>
        </is>
      </c>
      <c r="C14" s="15" t="inlineStr">
        <is>
          <t>Story Points</t>
        </is>
      </c>
      <c r="D14" s="15" t="inlineStr">
        <is>
          <t>% Tarefas</t>
        </is>
      </c>
      <c r="E14" s="15" t="inlineStr">
        <is>
          <t>% SP</t>
        </is>
      </c>
    </row>
    <row r="15">
      <c r="A15" s="3" t="inlineStr">
        <is>
          <t>Feature</t>
        </is>
      </c>
      <c r="B15" s="3">
        <f>COUNTIF(Tarefas!E2:E95,"Feature")</f>
        <v/>
      </c>
      <c r="C15" s="3">
        <f>SUMIF(Tarefas!E2:E95,"Feature",Tarefas!H2:H95)</f>
        <v/>
      </c>
      <c r="D15" s="17">
        <f>B15/B11</f>
        <v/>
      </c>
      <c r="E15" s="17">
        <f>C15/C11</f>
        <v/>
      </c>
    </row>
    <row r="16">
      <c r="A16" s="3" t="inlineStr">
        <is>
          <t>Fix</t>
        </is>
      </c>
      <c r="B16" s="3">
        <f>COUNTIF(Tarefas!E2:E95,"Fix")</f>
        <v/>
      </c>
      <c r="C16" s="3">
        <f>SUMIF(Tarefas!E2:E95,"Fix",Tarefas!H2:H95)</f>
        <v/>
      </c>
      <c r="D16" s="17">
        <f>B16/B11</f>
        <v/>
      </c>
      <c r="E16" s="17">
        <f>C16/C11</f>
        <v/>
      </c>
    </row>
    <row r="17">
      <c r="A17" s="3" t="inlineStr">
        <is>
          <t>Refactor</t>
        </is>
      </c>
      <c r="B17" s="3">
        <f>COUNTIF(Tarefas!E2:E95,"Refactor")</f>
        <v/>
      </c>
      <c r="C17" s="3">
        <f>SUMIF(Tarefas!E2:E95,"Refactor",Tarefas!H2:H95)</f>
        <v/>
      </c>
      <c r="D17" s="17">
        <f>B17/B11</f>
        <v/>
      </c>
      <c r="E17" s="17">
        <f>C17/C11</f>
        <v/>
      </c>
    </row>
    <row r="18">
      <c r="A18" s="3" t="inlineStr">
        <is>
          <t>Tests</t>
        </is>
      </c>
      <c r="B18" s="3">
        <f>COUNTIF(Tarefas!E2:E95,"Tests")</f>
        <v/>
      </c>
      <c r="C18" s="3">
        <f>SUMIF(Tarefas!E2:E95,"Tests",Tarefas!H2:H95)</f>
        <v/>
      </c>
      <c r="D18" s="17">
        <f>B18/B11</f>
        <v/>
      </c>
      <c r="E18" s="17">
        <f>C18/C11</f>
        <v/>
      </c>
    </row>
    <row r="19">
      <c r="A19" s="3" t="inlineStr">
        <is>
          <t>DevOps</t>
        </is>
      </c>
      <c r="B19" s="3">
        <f>COUNTIF(Tarefas!E2:E95,"DevOps")</f>
        <v/>
      </c>
      <c r="C19" s="3">
        <f>SUMIF(Tarefas!E2:E95,"DevOps",Tarefas!H2:H95)</f>
        <v/>
      </c>
      <c r="D19" s="17">
        <f>B19/B11</f>
        <v/>
      </c>
      <c r="E19" s="17">
        <f>C19/C11</f>
        <v/>
      </c>
    </row>
    <row r="22">
      <c r="A22" s="14" t="inlineStr">
        <is>
          <t>Distribuição de Story Points</t>
        </is>
      </c>
    </row>
    <row r="23">
      <c r="A23" s="15" t="inlineStr">
        <is>
          <t>Story Points</t>
        </is>
      </c>
      <c r="B23" s="15" t="inlineStr">
        <is>
          <t>Qtd Tarefas</t>
        </is>
      </c>
      <c r="C23" s="15" t="inlineStr">
        <is>
          <t>Total SP</t>
        </is>
      </c>
      <c r="D23" s="15" t="inlineStr">
        <is>
          <t>% Tarefas</t>
        </is>
      </c>
      <c r="E23" s="15" t="inlineStr">
        <is>
          <t>% SP</t>
        </is>
      </c>
    </row>
    <row r="24">
      <c r="A24" s="3" t="n">
        <v>1</v>
      </c>
      <c r="B24" s="3">
        <f>COUNTIF(Tarefas!H2:H95,1)</f>
        <v/>
      </c>
      <c r="C24" s="3">
        <f>B24*1</f>
        <v/>
      </c>
      <c r="D24" s="17">
        <f>B24/B11</f>
        <v/>
      </c>
      <c r="E24" s="17">
        <f>C24/C11</f>
        <v/>
      </c>
    </row>
    <row r="25">
      <c r="A25" s="3" t="n">
        <v>2</v>
      </c>
      <c r="B25" s="3">
        <f>COUNTIF(Tarefas!H2:H95,2)</f>
        <v/>
      </c>
      <c r="C25" s="3">
        <f>B25*2</f>
        <v/>
      </c>
      <c r="D25" s="17">
        <f>B25/B11</f>
        <v/>
      </c>
      <c r="E25" s="17">
        <f>C25/C11</f>
        <v/>
      </c>
    </row>
    <row r="26">
      <c r="A26" s="3" t="n">
        <v>3</v>
      </c>
      <c r="B26" s="3">
        <f>COUNTIF(Tarefas!H2:H95,3)</f>
        <v/>
      </c>
      <c r="C26" s="3">
        <f>B26*3</f>
        <v/>
      </c>
      <c r="D26" s="17">
        <f>B26/B11</f>
        <v/>
      </c>
      <c r="E26" s="17">
        <f>C26/C11</f>
        <v/>
      </c>
    </row>
    <row r="27">
      <c r="A27" s="3" t="n">
        <v>5</v>
      </c>
      <c r="B27" s="3">
        <f>COUNTIF(Tarefas!H2:H95,5)</f>
        <v/>
      </c>
      <c r="C27" s="3">
        <f>B27*5</f>
        <v/>
      </c>
      <c r="D27" s="17">
        <f>B27/B11</f>
        <v/>
      </c>
      <c r="E27" s="17">
        <f>C27/C11</f>
        <v/>
      </c>
    </row>
    <row r="28">
      <c r="A28" s="3" t="n">
        <v>8</v>
      </c>
      <c r="B28" s="3">
        <f>COUNTIF(Tarefas!H2:H95,8)</f>
        <v/>
      </c>
      <c r="C28" s="3">
        <f>B28*8</f>
        <v/>
      </c>
      <c r="D28" s="17">
        <f>B28/B11</f>
        <v/>
      </c>
      <c r="E28" s="17">
        <f>C28/C11</f>
        <v/>
      </c>
    </row>
    <row r="29">
      <c r="A29" s="3" t="n">
        <v>13</v>
      </c>
      <c r="B29" s="3">
        <f>COUNTIF(Tarefas!H2:H95,13)</f>
        <v/>
      </c>
      <c r="C29" s="3">
        <f>B29*13</f>
        <v/>
      </c>
      <c r="D29" s="17">
        <f>B29/B11</f>
        <v/>
      </c>
      <c r="E29" s="17">
        <f>C29/C11</f>
        <v/>
      </c>
    </row>
    <row r="31">
      <c r="A31" s="22" t="inlineStr">
        <is>
          <t>Notas</t>
        </is>
      </c>
    </row>
    <row r="32" ht="24" customHeight="1">
      <c r="A32" s="23" t="inlineStr">
        <is>
          <t>• Story Points usam Fibonacci (1, 2, 3, 5, 8, 13) refletindo complexidade relativa, não horas.</t>
        </is>
      </c>
    </row>
    <row r="33" ht="24" customHeight="1">
      <c r="A33" s="23" t="inlineStr">
        <is>
          <t>• 1 = trivial (poucas horas) · 2 = pequeno · 3 = moderado · 5 = médio · 8 = grande · 13 = muito grande.</t>
        </is>
      </c>
    </row>
    <row r="34" ht="24" customHeight="1">
      <c r="A34" s="23" t="inlineStr">
        <is>
          <t>• Áreas: Backend = shieldgo-microservices (ms-user, ms-company, ms-chat, api-gateway). Frontend = alertport-admin-web (Next.js). App = alertport-app (React Native).</t>
        </is>
      </c>
    </row>
    <row r="35" ht="24" customHeight="1">
      <c r="A35" s="23" t="inlineStr">
        <is>
          <t>• Tarefas aqui são consolidações de múltiplos commits relacionados do mesmo escopo. A aba Tarefas tem linha detalhada por escopo.</t>
        </is>
      </c>
    </row>
    <row r="36" ht="24" customHeight="1">
      <c r="A36" s="23" t="inlineStr">
        <is>
          <t>• Período coberto: 2026-04-07 (primeiros commits no app) a 2026-04-20 (deploy do módulo de gestão de módulos em HML).</t>
        </is>
      </c>
    </row>
  </sheetData>
  <mergeCells count="11">
    <mergeCell ref="A34:E34"/>
    <mergeCell ref="A35:E35"/>
    <mergeCell ref="A4:E4"/>
    <mergeCell ref="A33:E33"/>
    <mergeCell ref="A1:E1"/>
    <mergeCell ref="B3:E3"/>
    <mergeCell ref="A13:E13"/>
    <mergeCell ref="A32:E32"/>
    <mergeCell ref="A36:E36"/>
    <mergeCell ref="A6:E6"/>
    <mergeCell ref="A22:E2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2026-04-20T23:32:20Z</dcterms:created>
  <dcterms:modified xmlns:dcterms="http://purl.org/dc/terms/" xmlns:xsi="http://www.w3.org/2001/XMLSchema-instance" xsi:type="dcterms:W3CDTF">2026-04-20T23:32:20Z</dcterms:modified>
</cp:coreProperties>
</file>